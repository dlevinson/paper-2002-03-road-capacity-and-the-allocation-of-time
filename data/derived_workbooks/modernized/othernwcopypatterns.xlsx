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3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s" sheetId="1" state="visible" r:id="rId3"/>
    <sheet name="Travel by Pattern" sheetId="2" state="visible" r:id="rId4"/>
    <sheet name="Time at Home" sheetId="3" state="visible" r:id="rId5"/>
    <sheet name="freq" sheetId="4" state="visible" r:id="rId6"/>
    <sheet name="travelnw" sheetId="5" state="visible" r:id="rId7"/>
    <sheet name="timeathomenw" sheetId="6" state="visible" r:id="rId8"/>
    <sheet name="othernw" sheetId="7" state="visible" r:id="rId9"/>
    <sheet name="Sheet1" sheetId="8" state="visible" r:id="rId10"/>
    <sheet name="Sheet2" sheetId="9" state="visible" r:id="rId11"/>
    <sheet name="Sheet3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<sst xmlns="http://schemas.openxmlformats.org/spreadsheetml/2006/main" count="39" uniqueCount="29">
  <si>
    <t xml:space="preserve">WORKERS</t>
  </si>
  <si>
    <t xml:space="preserve">        NON WORKERS</t>
  </si>
  <si>
    <t xml:space="preserve">NON-WORKERS</t>
  </si>
  <si>
    <t xml:space="preserve">Patterns</t>
  </si>
  <si>
    <t xml:space="preserve">Observations</t>
  </si>
  <si>
    <t xml:space="preserve">tt1</t>
  </si>
  <si>
    <t xml:space="preserve">tt2</t>
  </si>
  <si>
    <t xml:space="preserve">tt3</t>
  </si>
  <si>
    <t xml:space="preserve">tt4</t>
  </si>
  <si>
    <t xml:space="preserve">act1</t>
  </si>
  <si>
    <t xml:space="preserve">act2 </t>
  </si>
  <si>
    <t xml:space="preserve">act3</t>
  </si>
  <si>
    <t xml:space="preserve">act4</t>
  </si>
  <si>
    <t xml:space="preserve">Travel</t>
  </si>
  <si>
    <t xml:space="preserve">HOH</t>
  </si>
  <si>
    <t xml:space="preserve">HSOH</t>
  </si>
  <si>
    <t xml:space="preserve">HOSH</t>
  </si>
  <si>
    <t xml:space="preserve">HOOH</t>
  </si>
  <si>
    <t xml:space="preserve">HSSOH</t>
  </si>
  <si>
    <t xml:space="preserve">HSOSH</t>
  </si>
  <si>
    <t xml:space="preserve">HSOOH</t>
  </si>
  <si>
    <t xml:space="preserve">HOSSH</t>
  </si>
  <si>
    <t xml:space="preserve">HOSOH</t>
  </si>
  <si>
    <t xml:space="preserve">HOOSH</t>
  </si>
  <si>
    <t xml:space="preserve">HOOOH</t>
  </si>
  <si>
    <t xml:space="preserve">HSHOH</t>
  </si>
  <si>
    <t xml:space="preserve">HOHSH</t>
  </si>
  <si>
    <t xml:space="preserve">HOHOH</t>
  </si>
  <si>
    <t xml:space="preserve">HOOHH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</si>
</sst>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b val="true"/>
      <sz val="18"/>
      <color rgb="FF000000"/>
      <name val="Geneva"/>
      <family val="2"/>
    </font>
    <font>
      <b val="true"/>
      <sz val="9"/>
      <name val="Geneva"/>
      <family val="0"/>
    </font>
    <font>
      <sz val="9"/>
      <color rgb="FF993300"/>
      <name val="Geneva"/>
      <family val="0"/>
    </font>
    <font>
      <sz val="9"/>
      <color rgb="FFFF00FF"/>
      <name val="Geneva"/>
      <family val="0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FF6600"/>
        <bgColor rgb="FFFF9900"/>
      </patternFill>
    </fill>
    <fill>
      <patternFill patternType="solid">
        <fgColor rgb="FFFF00FF"/>
        <bgColor rgb="FFFF00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Trip Patterns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Sheet1!$B$6</c:f>
              <c:numCache>
                <c:formatCode>0</c:formatCode>
                <c:ptCount val="1"/>
                <c:pt idx="0">
                  <c:v>1046</c:v>
                </c:pt>
              </c:numCache>
            </c:numRef>
          </c:val>
        </c:ser>
        <c:ser>
          <c:idx val="3"/>
          <c:order val="3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spPr>
            <a:solidFill>
              <a:srgbClr val="0066CC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spPr>
            <a:solidFill>
              <a:srgbClr val="CC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spPr>
            <a:solidFill>
              <a:srgbClr val="0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Sheet1!$B$7</c:f>
              <c:numCache>
                <c:formatCode>0</c:formatCode>
                <c:ptCount val="1"/>
                <c:pt idx="0">
                  <c:v>99</c:v>
                </c:pt>
              </c:numCache>
            </c:numRef>
          </c:val>
        </c:ser>
        <c:ser>
          <c:idx val="8"/>
          <c:order val="8"/>
          <c:spPr>
            <a:solidFill>
              <a:srgbClr val="FF0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Sheet1!$B$8</c:f>
              <c:numCache>
                <c:formatCode>0</c:formatCode>
                <c:ptCount val="1"/>
                <c:pt idx="0">
                  <c:v>161</c:v>
                </c:pt>
              </c:numCache>
            </c:numRef>
          </c:val>
        </c:ser>
        <c:ser>
          <c:idx val="9"/>
          <c:order val="9"/>
          <c:spPr>
            <a:solidFill>
              <a:srgbClr val="FFFF0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spPr>
            <a:solidFill>
              <a:srgbClr val="00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spPr>
            <a:solidFill>
              <a:srgbClr val="8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Sheet1!$B$9</c:f>
              <c:numCache>
                <c:formatCode>0</c:formatCode>
                <c:ptCount val="1"/>
                <c:pt idx="0">
                  <c:v>239</c:v>
                </c:pt>
              </c:numCache>
            </c:numRef>
          </c:val>
        </c:ser>
        <c:gapWidth val="150"/>
        <c:overlap val="0"/>
        <c:axId val="15411227"/>
        <c:axId val="26966506"/>
      </c:barChart>
      <c:catAx>
        <c:axId val="154112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6966506"/>
        <c:crossesAt val="0"/>
        <c:auto val="1"/>
        <c:lblAlgn val="ctr"/>
        <c:lblOffset val="100"/>
        <c:noMultiLvlLbl val="0"/>
      </c:catAx>
      <c:valAx>
        <c:axId val="2696650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Number of Observations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5411227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Travel by Pattern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"Patterns"</c:f>
              <c:strCache>
                <c:ptCount val="1"/>
                <c:pt idx="0">
                  <c:v>Patterns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Sheet1!$A$6:$A$9</c:f>
              <c:strCache>
                <c:ptCount val="4"/>
                <c:pt idx="0">
                  <c:v>HOH</c:v>
                </c:pt>
                <c:pt idx="1">
                  <c:v>HSOH</c:v>
                </c:pt>
                <c:pt idx="2">
                  <c:v>HOSH</c:v>
                </c:pt>
                <c:pt idx="3">
                  <c:v>HOOH</c:v>
                </c:pt>
              </c:strCache>
            </c:strRef>
          </c:cat>
          <c:val>
            <c:numRef>
              <c:f>Sheet1!$K$6:$K$9</c:f>
              <c:numCache>
                <c:formatCode>0</c:formatCode>
                <c:ptCount val="4"/>
                <c:pt idx="0">
                  <c:v>39.22</c:v>
                </c:pt>
                <c:pt idx="1">
                  <c:v>46.44</c:v>
                </c:pt>
                <c:pt idx="2">
                  <c:v>41.73</c:v>
                </c:pt>
                <c:pt idx="3">
                  <c:v>55.78</c:v>
                </c:pt>
              </c:numCache>
            </c:numRef>
          </c:val>
        </c:ser>
        <c:gapWidth val="150"/>
        <c:overlap val="0"/>
        <c:axId val="10335790"/>
        <c:axId val="92390442"/>
      </c:barChart>
      <c:catAx>
        <c:axId val="10335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2390442"/>
        <c:crossesAt val="0"/>
        <c:auto val="1"/>
        <c:lblAlgn val="ctr"/>
        <c:lblOffset val="100"/>
        <c:noMultiLvlLbl val="0"/>
      </c:catAx>
      <c:valAx>
        <c:axId val="9239044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Travel Time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0335790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Time at Home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"Time at Home"</c:f>
              <c:strCache>
                <c:ptCount val="1"/>
                <c:pt idx="0">
                  <c:v>Time at Home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Sheet1!$A$6:$A$9</c:f>
              <c:strCache>
                <c:ptCount val="4"/>
                <c:pt idx="0">
                  <c:v>HOH</c:v>
                </c:pt>
                <c:pt idx="1">
                  <c:v>HSOH</c:v>
                </c:pt>
                <c:pt idx="2">
                  <c:v>HOSH</c:v>
                </c:pt>
                <c:pt idx="3">
                  <c:v>HOOH</c:v>
                </c:pt>
              </c:strCache>
            </c:strRef>
          </c:cat>
          <c:val>
            <c:numRef>
              <c:f>Sheet1!$G$6:$G$9</c:f>
              <c:numCache>
                <c:formatCode>0</c:formatCode>
                <c:ptCount val="4"/>
                <c:pt idx="0">
                  <c:v>1192</c:v>
                </c:pt>
                <c:pt idx="1">
                  <c:v>1199</c:v>
                </c:pt>
                <c:pt idx="2">
                  <c:v>1269</c:v>
                </c:pt>
                <c:pt idx="3">
                  <c:v>1138</c:v>
                </c:pt>
              </c:numCache>
            </c:numRef>
          </c:val>
        </c:ser>
        <c:gapWidth val="150"/>
        <c:overlap val="0"/>
        <c:axId val="51666633"/>
        <c:axId val="38022437"/>
      </c:barChart>
      <c:catAx>
        <c:axId val="51666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8022437"/>
        <c:crossesAt val="0"/>
        <c:auto val="1"/>
        <c:lblAlgn val="ctr"/>
        <c:lblOffset val="100"/>
        <c:noMultiLvlLbl val="0"/>
      </c:catAx>
      <c:valAx>
        <c:axId val="3802243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at Home in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1666633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Sheet1!$A$6:$A$19</c:f>
              <c:strCache>
                <c:ptCount val="14"/>
                <c:pt idx="0">
                  <c:v>HOH</c:v>
                </c:pt>
                <c:pt idx="1">
                  <c:v>HSOH</c:v>
                </c:pt>
                <c:pt idx="2">
                  <c:v>HOSH</c:v>
                </c:pt>
                <c:pt idx="3">
                  <c:v>HOOH</c:v>
                </c:pt>
                <c:pt idx="4">
                  <c:v>HSSOH</c:v>
                </c:pt>
                <c:pt idx="5">
                  <c:v>HSOSH</c:v>
                </c:pt>
                <c:pt idx="6">
                  <c:v>HSOOH</c:v>
                </c:pt>
                <c:pt idx="7">
                  <c:v>HOSSH</c:v>
                </c:pt>
                <c:pt idx="8">
                  <c:v>HOSOH</c:v>
                </c:pt>
                <c:pt idx="9">
                  <c:v>HOOSH</c:v>
                </c:pt>
                <c:pt idx="10">
                  <c:v>HOOOH</c:v>
                </c:pt>
                <c:pt idx="11">
                  <c:v>HSHOH</c:v>
                </c:pt>
                <c:pt idx="12">
                  <c:v>HOHSH</c:v>
                </c:pt>
                <c:pt idx="13">
                  <c:v>HOHOH</c:v>
                </c:pt>
              </c:strCache>
            </c:strRef>
          </c:cat>
          <c:val>
            <c:numRef>
              <c:f>Sheet1!$L$6:$L$19</c:f>
              <c:numCache>
                <c:formatCode>0</c:formatCode>
                <c:ptCount val="14"/>
                <c:pt idx="0">
                  <c:v>704</c:v>
                </c:pt>
                <c:pt idx="1">
                  <c:v>47</c:v>
                </c:pt>
                <c:pt idx="2">
                  <c:v>128</c:v>
                </c:pt>
                <c:pt idx="3">
                  <c:v>161</c:v>
                </c:pt>
                <c:pt idx="4">
                  <c:v>13</c:v>
                </c:pt>
                <c:pt idx="5">
                  <c:v>18</c:v>
                </c:pt>
                <c:pt idx="6">
                  <c:v>8</c:v>
                </c:pt>
                <c:pt idx="7">
                  <c:v>18</c:v>
                </c:pt>
                <c:pt idx="8">
                  <c:v>46</c:v>
                </c:pt>
                <c:pt idx="9">
                  <c:v>29</c:v>
                </c:pt>
                <c:pt idx="10">
                  <c:v>86</c:v>
                </c:pt>
                <c:pt idx="11">
                  <c:v>108</c:v>
                </c:pt>
                <c:pt idx="12">
                  <c:v>96</c:v>
                </c:pt>
                <c:pt idx="13">
                  <c:v>268</c:v>
                </c:pt>
              </c:numCache>
            </c:numRef>
          </c:val>
        </c:ser>
        <c:gapWidth val="150"/>
        <c:overlap val="0"/>
        <c:axId val="53152305"/>
        <c:axId val="68617377"/>
      </c:barChart>
      <c:catAx>
        <c:axId val="531523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8617377"/>
        <c:crossesAt val="0"/>
        <c:auto val="1"/>
        <c:lblAlgn val="ctr"/>
        <c:lblOffset val="100"/>
        <c:noMultiLvlLbl val="0"/>
      </c:catAx>
      <c:valAx>
        <c:axId val="6861737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Number of Observations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315230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Sheet1!$A$6:$A$19</c:f>
              <c:strCache>
                <c:ptCount val="14"/>
                <c:pt idx="0">
                  <c:v>HOH</c:v>
                </c:pt>
                <c:pt idx="1">
                  <c:v>HSOH</c:v>
                </c:pt>
                <c:pt idx="2">
                  <c:v>HOSH</c:v>
                </c:pt>
                <c:pt idx="3">
                  <c:v>HOOH</c:v>
                </c:pt>
                <c:pt idx="4">
                  <c:v>HSSOH</c:v>
                </c:pt>
                <c:pt idx="5">
                  <c:v>HSOSH</c:v>
                </c:pt>
                <c:pt idx="6">
                  <c:v>HSOOH</c:v>
                </c:pt>
                <c:pt idx="7">
                  <c:v>HOSSH</c:v>
                </c:pt>
                <c:pt idx="8">
                  <c:v>HOSOH</c:v>
                </c:pt>
                <c:pt idx="9">
                  <c:v>HOOSH</c:v>
                </c:pt>
                <c:pt idx="10">
                  <c:v>HOOOH</c:v>
                </c:pt>
                <c:pt idx="11">
                  <c:v>HSHOH</c:v>
                </c:pt>
                <c:pt idx="12">
                  <c:v>HOHSH</c:v>
                </c:pt>
                <c:pt idx="13">
                  <c:v>HOHOH</c:v>
                </c:pt>
              </c:strCache>
            </c:strRef>
          </c:cat>
          <c:val>
            <c:numRef>
              <c:f>Sheet1!$U$6:$U$19</c:f>
              <c:numCache>
                <c:formatCode>0</c:formatCode>
                <c:ptCount val="14"/>
                <c:pt idx="0">
                  <c:v>21.31</c:v>
                </c:pt>
                <c:pt idx="1">
                  <c:v>27.82</c:v>
                </c:pt>
                <c:pt idx="2">
                  <c:v>25.21</c:v>
                </c:pt>
                <c:pt idx="3">
                  <c:v>19.31</c:v>
                </c:pt>
                <c:pt idx="4">
                  <c:v>48</c:v>
                </c:pt>
                <c:pt idx="5">
                  <c:v>36</c:v>
                </c:pt>
                <c:pt idx="6">
                  <c:v>31</c:v>
                </c:pt>
                <c:pt idx="7">
                  <c:v>35</c:v>
                </c:pt>
                <c:pt idx="8">
                  <c:v>27</c:v>
                </c:pt>
                <c:pt idx="9">
                  <c:v>24</c:v>
                </c:pt>
                <c:pt idx="10">
                  <c:v>18</c:v>
                </c:pt>
                <c:pt idx="11">
                  <c:v>40.26852</c:v>
                </c:pt>
                <c:pt idx="12">
                  <c:v>37.9375</c:v>
                </c:pt>
                <c:pt idx="13">
                  <c:v>31.36194</c:v>
                </c:pt>
              </c:numCache>
            </c:numRef>
          </c:val>
        </c:ser>
        <c:gapWidth val="150"/>
        <c:overlap val="0"/>
        <c:axId val="23568391"/>
        <c:axId val="25539919"/>
      </c:barChart>
      <c:catAx>
        <c:axId val="23568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5539919"/>
        <c:crossesAt val="0"/>
        <c:auto val="1"/>
        <c:lblAlgn val="ctr"/>
        <c:lblOffset val="100"/>
        <c:noMultiLvlLbl val="0"/>
      </c:catAx>
      <c:valAx>
        <c:axId val="2553991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Spent Traveling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3568391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Sheet1!$A$6:$A$19</c:f>
              <c:strCache>
                <c:ptCount val="14"/>
                <c:pt idx="0">
                  <c:v>HOH</c:v>
                </c:pt>
                <c:pt idx="1">
                  <c:v>HSOH</c:v>
                </c:pt>
                <c:pt idx="2">
                  <c:v>HOSH</c:v>
                </c:pt>
                <c:pt idx="3">
                  <c:v>HOOH</c:v>
                </c:pt>
                <c:pt idx="4">
                  <c:v>HSSOH</c:v>
                </c:pt>
                <c:pt idx="5">
                  <c:v>HSOSH</c:v>
                </c:pt>
                <c:pt idx="6">
                  <c:v>HSOOH</c:v>
                </c:pt>
                <c:pt idx="7">
                  <c:v>HOSSH</c:v>
                </c:pt>
                <c:pt idx="8">
                  <c:v>HOSOH</c:v>
                </c:pt>
                <c:pt idx="9">
                  <c:v>HOOSH</c:v>
                </c:pt>
                <c:pt idx="10">
                  <c:v>HOOOH</c:v>
                </c:pt>
                <c:pt idx="11">
                  <c:v>HSHOH</c:v>
                </c:pt>
                <c:pt idx="12">
                  <c:v>HOHSH</c:v>
                </c:pt>
                <c:pt idx="13">
                  <c:v>HOHOH</c:v>
                </c:pt>
              </c:strCache>
            </c:strRef>
          </c:cat>
          <c:val>
            <c:numRef>
              <c:f>Sheet1!$Q$6:$Q$19</c:f>
              <c:numCache>
                <c:formatCode>0</c:formatCode>
                <c:ptCount val="14"/>
                <c:pt idx="0">
                  <c:v>1192</c:v>
                </c:pt>
                <c:pt idx="1">
                  <c:v>1247</c:v>
                </c:pt>
                <c:pt idx="2">
                  <c:v>1247</c:v>
                </c:pt>
                <c:pt idx="3">
                  <c:v>1145</c:v>
                </c:pt>
                <c:pt idx="4">
                  <c:v>1217</c:v>
                </c:pt>
                <c:pt idx="5">
                  <c:v>1227</c:v>
                </c:pt>
                <c:pt idx="6">
                  <c:v>1205</c:v>
                </c:pt>
                <c:pt idx="7">
                  <c:v>1218</c:v>
                </c:pt>
                <c:pt idx="8">
                  <c:v>1155</c:v>
                </c:pt>
                <c:pt idx="9">
                  <c:v>1243</c:v>
                </c:pt>
                <c:pt idx="10">
                  <c:v>1051</c:v>
                </c:pt>
                <c:pt idx="11">
                  <c:v>1217.028</c:v>
                </c:pt>
                <c:pt idx="12">
                  <c:v>1191.458</c:v>
                </c:pt>
                <c:pt idx="13">
                  <c:v>1151.854</c:v>
                </c:pt>
              </c:numCache>
            </c:numRef>
          </c:val>
        </c:ser>
        <c:gapWidth val="150"/>
        <c:overlap val="0"/>
        <c:axId val="93144808"/>
        <c:axId val="52340233"/>
      </c:barChart>
      <c:catAx>
        <c:axId val="93144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2340233"/>
        <c:crossesAt val="0"/>
        <c:auto val="1"/>
        <c:lblAlgn val="ctr"/>
        <c:lblOffset val="100"/>
        <c:noMultiLvlLbl val="0"/>
      </c:catAx>
      <c:valAx>
        <c:axId val="5234023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Spent at Home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3144808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Sheet1!$A$6:$A$19</c:f>
              <c:strCache>
                <c:ptCount val="14"/>
                <c:pt idx="0">
                  <c:v>HOH</c:v>
                </c:pt>
                <c:pt idx="1">
                  <c:v>HSOH</c:v>
                </c:pt>
                <c:pt idx="2">
                  <c:v>HOSH</c:v>
                </c:pt>
                <c:pt idx="3">
                  <c:v>HOOH</c:v>
                </c:pt>
                <c:pt idx="4">
                  <c:v>HSSOH</c:v>
                </c:pt>
                <c:pt idx="5">
                  <c:v>HSOSH</c:v>
                </c:pt>
                <c:pt idx="6">
                  <c:v>HSOOH</c:v>
                </c:pt>
                <c:pt idx="7">
                  <c:v>HOSSH</c:v>
                </c:pt>
                <c:pt idx="8">
                  <c:v>HOSOH</c:v>
                </c:pt>
                <c:pt idx="9">
                  <c:v>HOOSH</c:v>
                </c:pt>
                <c:pt idx="10">
                  <c:v>HOOOH</c:v>
                </c:pt>
                <c:pt idx="11">
                  <c:v>HSHOH</c:v>
                </c:pt>
                <c:pt idx="12">
                  <c:v>HOHSH</c:v>
                </c:pt>
                <c:pt idx="13">
                  <c:v>HOHOH</c:v>
                </c:pt>
              </c:strCache>
            </c:strRef>
          </c:cat>
          <c:val>
            <c:numRef>
              <c:f>Sheet1!$T$6:$T$19</c:f>
              <c:numCache>
                <c:formatCode>0</c:formatCode>
                <c:ptCount val="14"/>
                <c:pt idx="0">
                  <c:v>206.6</c:v>
                </c:pt>
                <c:pt idx="1">
                  <c:v>112.4</c:v>
                </c:pt>
                <c:pt idx="2">
                  <c:v>100.4</c:v>
                </c:pt>
                <c:pt idx="3">
                  <c:v>241.15</c:v>
                </c:pt>
                <c:pt idx="4">
                  <c:v>48</c:v>
                </c:pt>
                <c:pt idx="5">
                  <c:v>90</c:v>
                </c:pt>
                <c:pt idx="6">
                  <c:v>125</c:v>
                </c:pt>
                <c:pt idx="7">
                  <c:v>64</c:v>
                </c:pt>
                <c:pt idx="8">
                  <c:v>170</c:v>
                </c:pt>
                <c:pt idx="9">
                  <c:v>109</c:v>
                </c:pt>
                <c:pt idx="10">
                  <c:v>315</c:v>
                </c:pt>
                <c:pt idx="11">
                  <c:v>112.3148</c:v>
                </c:pt>
                <c:pt idx="12">
                  <c:v>145.6667</c:v>
                </c:pt>
                <c:pt idx="13">
                  <c:v>225.806</c:v>
                </c:pt>
              </c:numCache>
            </c:numRef>
          </c:val>
        </c:ser>
        <c:gapWidth val="150"/>
        <c:overlap val="0"/>
        <c:axId val="48576915"/>
        <c:axId val="52490192"/>
      </c:barChart>
      <c:catAx>
        <c:axId val="485769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2490192"/>
        <c:crossesAt val="0"/>
        <c:auto val="1"/>
        <c:lblAlgn val="ctr"/>
        <c:lblOffset val="100"/>
        <c:noMultiLvlLbl val="0"/>
      </c:catAx>
      <c:valAx>
        <c:axId val="5249019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spent at Other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857691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716400</xdr:colOff>
      <xdr:row>5</xdr:row>
      <xdr:rowOff>105480</xdr:rowOff>
    </xdr:from>
    <xdr:to>
      <xdr:col>2</xdr:col>
      <xdr:colOff>255960</xdr:colOff>
      <xdr:row>6</xdr:row>
      <xdr:rowOff>131040</xdr:rowOff>
    </xdr:to>
    <xdr:sp>
      <xdr:nvSpPr>
        <xdr:cNvPr id="2" name="Text 1"/>
        <xdr:cNvSpPr/>
      </xdr:nvSpPr>
      <xdr:spPr>
        <a:xfrm>
          <a:off x="1529280" y="918360"/>
          <a:ext cx="35244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416520</xdr:colOff>
      <xdr:row>25</xdr:row>
      <xdr:rowOff>44640</xdr:rowOff>
    </xdr:from>
    <xdr:to>
      <xdr:col>2</xdr:col>
      <xdr:colOff>744480</xdr:colOff>
      <xdr:row>26</xdr:row>
      <xdr:rowOff>66240</xdr:rowOff>
    </xdr:to>
    <xdr:sp>
      <xdr:nvSpPr>
        <xdr:cNvPr id="3" name="Text 2"/>
        <xdr:cNvSpPr/>
      </xdr:nvSpPr>
      <xdr:spPr>
        <a:xfrm>
          <a:off x="2042280" y="4108680"/>
          <a:ext cx="3279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111240</xdr:colOff>
      <xdr:row>22</xdr:row>
      <xdr:rowOff>43200</xdr:rowOff>
    </xdr:from>
    <xdr:to>
      <xdr:col>3</xdr:col>
      <xdr:colOff>438840</xdr:colOff>
      <xdr:row>23</xdr:row>
      <xdr:rowOff>64440</xdr:rowOff>
    </xdr:to>
    <xdr:sp>
      <xdr:nvSpPr>
        <xdr:cNvPr id="4" name="Text 3"/>
        <xdr:cNvSpPr/>
      </xdr:nvSpPr>
      <xdr:spPr>
        <a:xfrm>
          <a:off x="2549520" y="3619440"/>
          <a:ext cx="327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540000</xdr:colOff>
      <xdr:row>24</xdr:row>
      <xdr:rowOff>150120</xdr:rowOff>
    </xdr:from>
    <xdr:to>
      <xdr:col>4</xdr:col>
      <xdr:colOff>155880</xdr:colOff>
      <xdr:row>26</xdr:row>
      <xdr:rowOff>9000</xdr:rowOff>
    </xdr:to>
    <xdr:sp>
      <xdr:nvSpPr>
        <xdr:cNvPr id="5" name="Text 4"/>
        <xdr:cNvSpPr/>
      </xdr:nvSpPr>
      <xdr:spPr>
        <a:xfrm>
          <a:off x="297828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234000</xdr:colOff>
      <xdr:row>27</xdr:row>
      <xdr:rowOff>108720</xdr:rowOff>
    </xdr:from>
    <xdr:to>
      <xdr:col>4</xdr:col>
      <xdr:colOff>662760</xdr:colOff>
      <xdr:row>28</xdr:row>
      <xdr:rowOff>129960</xdr:rowOff>
    </xdr:to>
    <xdr:sp>
      <xdr:nvSpPr>
        <xdr:cNvPr id="6" name="Text 5"/>
        <xdr:cNvSpPr/>
      </xdr:nvSpPr>
      <xdr:spPr>
        <a:xfrm>
          <a:off x="3485160" y="44978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426960</xdr:colOff>
      <xdr:row>26</xdr:row>
      <xdr:rowOff>155160</xdr:rowOff>
    </xdr:from>
    <xdr:to>
      <xdr:col>6</xdr:col>
      <xdr:colOff>42840</xdr:colOff>
      <xdr:row>28</xdr:row>
      <xdr:rowOff>13680</xdr:rowOff>
    </xdr:to>
    <xdr:sp>
      <xdr:nvSpPr>
        <xdr:cNvPr id="7" name="Text 6"/>
        <xdr:cNvSpPr/>
      </xdr:nvSpPr>
      <xdr:spPr>
        <a:xfrm>
          <a:off x="4491000" y="438156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88200</xdr:colOff>
      <xdr:row>27</xdr:row>
      <xdr:rowOff>108720</xdr:rowOff>
    </xdr:from>
    <xdr:to>
      <xdr:col>6</xdr:col>
      <xdr:colOff>490320</xdr:colOff>
      <xdr:row>28</xdr:row>
      <xdr:rowOff>129960</xdr:rowOff>
    </xdr:to>
    <xdr:sp>
      <xdr:nvSpPr>
        <xdr:cNvPr id="8" name="Text 7"/>
        <xdr:cNvSpPr/>
      </xdr:nvSpPr>
      <xdr:spPr>
        <a:xfrm>
          <a:off x="496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628200</xdr:colOff>
      <xdr:row>27</xdr:row>
      <xdr:rowOff>108720</xdr:rowOff>
    </xdr:from>
    <xdr:to>
      <xdr:col>7</xdr:col>
      <xdr:colOff>217800</xdr:colOff>
      <xdr:row>28</xdr:row>
      <xdr:rowOff>129960</xdr:rowOff>
    </xdr:to>
    <xdr:sp>
      <xdr:nvSpPr>
        <xdr:cNvPr id="9" name="Text 8"/>
        <xdr:cNvSpPr/>
      </xdr:nvSpPr>
      <xdr:spPr>
        <a:xfrm>
          <a:off x="550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209520</xdr:colOff>
      <xdr:row>27</xdr:row>
      <xdr:rowOff>108720</xdr:rowOff>
    </xdr:from>
    <xdr:to>
      <xdr:col>7</xdr:col>
      <xdr:colOff>663120</xdr:colOff>
      <xdr:row>28</xdr:row>
      <xdr:rowOff>129960</xdr:rowOff>
    </xdr:to>
    <xdr:sp>
      <xdr:nvSpPr>
        <xdr:cNvPr id="10" name="Text 9"/>
        <xdr:cNvSpPr/>
      </xdr:nvSpPr>
      <xdr:spPr>
        <a:xfrm>
          <a:off x="5898960" y="4497840"/>
          <a:ext cx="453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705960</xdr:colOff>
      <xdr:row>24</xdr:row>
      <xdr:rowOff>150120</xdr:rowOff>
    </xdr:from>
    <xdr:to>
      <xdr:col>5</xdr:col>
      <xdr:colOff>321840</xdr:colOff>
      <xdr:row>26</xdr:row>
      <xdr:rowOff>9000</xdr:rowOff>
    </xdr:to>
    <xdr:sp>
      <xdr:nvSpPr>
        <xdr:cNvPr id="11" name="Text 10"/>
        <xdr:cNvSpPr/>
      </xdr:nvSpPr>
      <xdr:spPr>
        <a:xfrm>
          <a:off x="395712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778320</xdr:colOff>
      <xdr:row>28</xdr:row>
      <xdr:rowOff>17640</xdr:rowOff>
    </xdr:from>
    <xdr:to>
      <xdr:col>8</xdr:col>
      <xdr:colOff>367560</xdr:colOff>
      <xdr:row>29</xdr:row>
      <xdr:rowOff>39240</xdr:rowOff>
    </xdr:to>
    <xdr:sp>
      <xdr:nvSpPr>
        <xdr:cNvPr id="12" name="Text 11"/>
        <xdr:cNvSpPr/>
      </xdr:nvSpPr>
      <xdr:spPr>
        <a:xfrm>
          <a:off x="6467760" y="456948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452160</xdr:colOff>
      <xdr:row>26</xdr:row>
      <xdr:rowOff>155160</xdr:rowOff>
    </xdr:from>
    <xdr:to>
      <xdr:col>9</xdr:col>
      <xdr:colOff>41040</xdr:colOff>
      <xdr:row>28</xdr:row>
      <xdr:rowOff>13680</xdr:rowOff>
    </xdr:to>
    <xdr:sp>
      <xdr:nvSpPr>
        <xdr:cNvPr id="13" name="Text 12"/>
        <xdr:cNvSpPr/>
      </xdr:nvSpPr>
      <xdr:spPr>
        <a:xfrm>
          <a:off x="6954480" y="4381560"/>
          <a:ext cx="401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4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5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6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7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8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207000</xdr:colOff>
      <xdr:row>9</xdr:row>
      <xdr:rowOff>145800</xdr:rowOff>
    </xdr:from>
    <xdr:to>
      <xdr:col>10</xdr:col>
      <xdr:colOff>397080</xdr:colOff>
      <xdr:row>9</xdr:row>
      <xdr:rowOff>151200</xdr:rowOff>
    </xdr:to>
    <xdr:sp>
      <xdr:nvSpPr>
        <xdr:cNvPr id="19" name="Line 1"/>
        <xdr:cNvSpPr/>
      </xdr:nvSpPr>
      <xdr:spPr>
        <a:xfrm>
          <a:off x="1019880" y="1608840"/>
          <a:ext cx="7505280" cy="5400"/>
        </a:xfrm>
        <a:prstGeom prst="line">
          <a:avLst/>
        </a:prstGeom>
        <a:ln w="25560">
          <a:solidFill>
            <a:srgbClr val="000000"/>
          </a:solidFill>
          <a:prstDash val="sysDot"/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2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141120</xdr:colOff>
      <xdr:row>16</xdr:row>
      <xdr:rowOff>149040</xdr:rowOff>
    </xdr:from>
    <xdr:to>
      <xdr:col>10</xdr:col>
      <xdr:colOff>388800</xdr:colOff>
      <xdr:row>16</xdr:row>
      <xdr:rowOff>149040</xdr:rowOff>
    </xdr:to>
    <xdr:sp>
      <xdr:nvSpPr>
        <xdr:cNvPr id="21" name="Line 1"/>
        <xdr:cNvSpPr/>
      </xdr:nvSpPr>
      <xdr:spPr>
        <a:xfrm>
          <a:off x="954000" y="2750040"/>
          <a:ext cx="7562880" cy="0"/>
        </a:xfrm>
        <a:prstGeom prst="line">
          <a:avLst/>
        </a:prstGeom>
        <a:ln w="25560">
          <a:solidFill>
            <a:srgbClr val="000000"/>
          </a:solidFill>
          <a:prstDash val="sysDot"/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5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T6" activeCellId="1" sqref="A6:A19 T6:T19"/>
    </sheetView>
  </sheetViews>
  <sheetFormatPr defaultColWidth="11.16015625" defaultRowHeight="13" customHeight="false" zeroHeight="false" outlineLevelRow="0" outlineLevelCol="0"/>
  <cols>
    <col collapsed="false" customWidth="false" hidden="true" outlineLevel="0" max="16" min="16" style="0" width="11.16"/>
  </cols>
  <sheetData>
    <row r="1" customFormat="false" ht="14" hidden="false" customHeight="false" outlineLevel="0" collapsed="false">
      <c r="A1" s="1"/>
    </row>
    <row r="2" customFormat="false" ht="13" hidden="false" customHeight="false" outlineLevel="0" collapsed="false">
      <c r="A2" s="2"/>
      <c r="B2" s="3"/>
      <c r="C2" s="4"/>
      <c r="D2" s="4"/>
      <c r="E2" s="5"/>
      <c r="F2" s="5" t="s">
        <v>0</v>
      </c>
      <c r="G2" s="5"/>
      <c r="H2" s="4"/>
      <c r="I2" s="4"/>
      <c r="J2" s="4"/>
      <c r="K2" s="4"/>
      <c r="L2" s="6"/>
      <c r="M2" s="7"/>
      <c r="N2" s="7"/>
      <c r="O2" s="8" t="s">
        <v>1</v>
      </c>
      <c r="P2" s="8" t="s">
        <v>2</v>
      </c>
      <c r="Q2" s="7"/>
      <c r="R2" s="8"/>
      <c r="S2" s="7"/>
      <c r="T2" s="7"/>
      <c r="U2" s="9"/>
    </row>
    <row r="3" customFormat="false" ht="13" hidden="false" customHeight="false" outlineLevel="0" collapsed="false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/>
      <c r="O3" s="14"/>
      <c r="P3" s="14"/>
      <c r="Q3" s="14"/>
      <c r="R3" s="14"/>
      <c r="S3" s="14"/>
      <c r="T3" s="14"/>
      <c r="U3" s="15"/>
    </row>
    <row r="4" customFormat="false" ht="13" hidden="false" customHeight="false" outlineLevel="0" collapsed="false">
      <c r="A4" s="16" t="s">
        <v>3</v>
      </c>
      <c r="B4" s="17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9" t="s">
        <v>4</v>
      </c>
      <c r="M4" s="20" t="s">
        <v>5</v>
      </c>
      <c r="N4" s="20" t="s">
        <v>6</v>
      </c>
      <c r="O4" s="20" t="s">
        <v>7</v>
      </c>
      <c r="P4" s="20" t="s">
        <v>8</v>
      </c>
      <c r="Q4" s="20" t="s">
        <v>9</v>
      </c>
      <c r="R4" s="20" t="s">
        <v>10</v>
      </c>
      <c r="S4" s="20" t="s">
        <v>11</v>
      </c>
      <c r="T4" s="20" t="s">
        <v>12</v>
      </c>
      <c r="U4" s="21" t="s">
        <v>13</v>
      </c>
    </row>
    <row r="5" customFormat="false" ht="14" hidden="false" customHeight="false" outlineLevel="0" collapsed="false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5"/>
      <c r="M5" s="26"/>
      <c r="N5" s="26"/>
      <c r="O5" s="26"/>
      <c r="P5" s="26"/>
      <c r="Q5" s="26"/>
      <c r="R5" s="26"/>
      <c r="S5" s="26"/>
      <c r="T5" s="26"/>
      <c r="U5" s="27"/>
    </row>
    <row r="6" customFormat="false" ht="13" hidden="false" customHeight="false" outlineLevel="0" collapsed="false">
      <c r="A6" s="10" t="s">
        <v>14</v>
      </c>
      <c r="B6" s="28" t="n">
        <v>1046</v>
      </c>
      <c r="C6" s="29" t="n">
        <v>19.81</v>
      </c>
      <c r="D6" s="29" t="n">
        <v>0</v>
      </c>
      <c r="E6" s="29" t="n">
        <v>0</v>
      </c>
      <c r="F6" s="29" t="n">
        <v>19.41</v>
      </c>
      <c r="G6" s="29" t="n">
        <v>1192</v>
      </c>
      <c r="H6" s="29" t="n">
        <v>0</v>
      </c>
      <c r="I6" s="29" t="n">
        <v>0</v>
      </c>
      <c r="J6" s="29" t="n">
        <v>208.5</v>
      </c>
      <c r="K6" s="30" t="n">
        <f aca="false">SUM(C6:F6)</f>
        <v>39.22</v>
      </c>
      <c r="L6" s="31" t="n">
        <v>704</v>
      </c>
      <c r="M6" s="32" t="n">
        <v>21.31</v>
      </c>
      <c r="N6" s="32" t="n">
        <v>0</v>
      </c>
      <c r="O6" s="32" t="n">
        <v>0</v>
      </c>
      <c r="P6" s="32" t="n">
        <v>20.58</v>
      </c>
      <c r="Q6" s="32" t="n">
        <v>1192</v>
      </c>
      <c r="R6" s="32" t="n">
        <v>0</v>
      </c>
      <c r="S6" s="32" t="n">
        <v>0</v>
      </c>
      <c r="T6" s="32" t="n">
        <v>206.6</v>
      </c>
      <c r="U6" s="33" t="n">
        <f aca="false">SUM(M6:O6)</f>
        <v>21.31</v>
      </c>
    </row>
    <row r="7" customFormat="false" ht="13" hidden="false" customHeight="false" outlineLevel="0" collapsed="false">
      <c r="A7" s="10" t="s">
        <v>15</v>
      </c>
      <c r="B7" s="28" t="n">
        <v>99</v>
      </c>
      <c r="C7" s="29" t="n">
        <v>18.14</v>
      </c>
      <c r="D7" s="29" t="n">
        <v>0</v>
      </c>
      <c r="E7" s="29" t="n">
        <v>12.95</v>
      </c>
      <c r="F7" s="29" t="n">
        <v>15.35</v>
      </c>
      <c r="G7" s="29" t="n">
        <v>1199</v>
      </c>
      <c r="H7" s="29" t="n">
        <v>0</v>
      </c>
      <c r="I7" s="29" t="n">
        <v>55.05</v>
      </c>
      <c r="J7" s="29" t="n">
        <v>138.83</v>
      </c>
      <c r="K7" s="30" t="n">
        <f aca="false">SUM(C7:F7)</f>
        <v>46.44</v>
      </c>
      <c r="L7" s="31" t="n">
        <v>47</v>
      </c>
      <c r="M7" s="32" t="n">
        <v>15.89</v>
      </c>
      <c r="N7" s="32" t="n">
        <v>0</v>
      </c>
      <c r="O7" s="32" t="n">
        <v>11.93</v>
      </c>
      <c r="P7" s="32" t="n">
        <v>12.89</v>
      </c>
      <c r="Q7" s="32" t="n">
        <v>1247</v>
      </c>
      <c r="R7" s="32" t="n">
        <v>0</v>
      </c>
      <c r="S7" s="32" t="n">
        <v>39.63</v>
      </c>
      <c r="T7" s="32" t="n">
        <v>112.4</v>
      </c>
      <c r="U7" s="33" t="n">
        <f aca="false">SUM(M7:O7)</f>
        <v>27.82</v>
      </c>
    </row>
    <row r="8" customFormat="false" ht="13" hidden="false" customHeight="false" outlineLevel="0" collapsed="false">
      <c r="A8" s="10" t="s">
        <v>16</v>
      </c>
      <c r="B8" s="28" t="n">
        <v>161</v>
      </c>
      <c r="C8" s="29" t="n">
        <v>13.26</v>
      </c>
      <c r="D8" s="29" t="n">
        <v>0</v>
      </c>
      <c r="E8" s="29" t="n">
        <v>13.07</v>
      </c>
      <c r="F8" s="29" t="n">
        <v>15.4</v>
      </c>
      <c r="G8" s="29" t="n">
        <v>1269</v>
      </c>
      <c r="H8" s="29" t="n">
        <v>0</v>
      </c>
      <c r="I8" s="29" t="n">
        <v>40.46</v>
      </c>
      <c r="J8" s="29" t="n">
        <v>88.34</v>
      </c>
      <c r="K8" s="30" t="n">
        <f aca="false">SUM(C8:F8)</f>
        <v>41.73</v>
      </c>
      <c r="L8" s="31" t="n">
        <v>128</v>
      </c>
      <c r="M8" s="32" t="n">
        <v>13.49</v>
      </c>
      <c r="N8" s="32" t="n">
        <v>0</v>
      </c>
      <c r="O8" s="32" t="n">
        <v>11.72</v>
      </c>
      <c r="P8" s="32" t="n">
        <v>16.1</v>
      </c>
      <c r="Q8" s="32" t="n">
        <v>1247</v>
      </c>
      <c r="R8" s="32" t="n">
        <v>0</v>
      </c>
      <c r="S8" s="32" t="n">
        <v>50.76</v>
      </c>
      <c r="T8" s="32" t="n">
        <v>100.4</v>
      </c>
      <c r="U8" s="33" t="n">
        <f aca="false">SUM(M8:O8)</f>
        <v>25.21</v>
      </c>
    </row>
    <row r="9" customFormat="false" ht="13" hidden="false" customHeight="false" outlineLevel="0" collapsed="false">
      <c r="A9" s="10" t="s">
        <v>17</v>
      </c>
      <c r="B9" s="28" t="n">
        <v>239</v>
      </c>
      <c r="C9" s="29" t="n">
        <v>20.47</v>
      </c>
      <c r="D9" s="29" t="n">
        <v>0</v>
      </c>
      <c r="E9" s="29" t="n">
        <v>0</v>
      </c>
      <c r="F9" s="29" t="n">
        <v>35.31</v>
      </c>
      <c r="G9" s="29" t="n">
        <v>1138</v>
      </c>
      <c r="H9" s="29" t="n">
        <v>0</v>
      </c>
      <c r="I9" s="29" t="n">
        <v>0</v>
      </c>
      <c r="J9" s="29" t="n">
        <v>246.1</v>
      </c>
      <c r="K9" s="30" t="n">
        <f aca="false">SUM(C9:F9)</f>
        <v>55.78</v>
      </c>
      <c r="L9" s="31" t="n">
        <v>161</v>
      </c>
      <c r="M9" s="32" t="n">
        <v>19.31</v>
      </c>
      <c r="N9" s="32" t="n">
        <v>0</v>
      </c>
      <c r="O9" s="32" t="n">
        <v>0</v>
      </c>
      <c r="P9" s="32" t="n">
        <v>34</v>
      </c>
      <c r="Q9" s="32" t="n">
        <v>1145</v>
      </c>
      <c r="R9" s="32" t="n">
        <v>0</v>
      </c>
      <c r="S9" s="32" t="n">
        <v>0</v>
      </c>
      <c r="T9" s="32" t="n">
        <v>241.15</v>
      </c>
      <c r="U9" s="33" t="n">
        <f aca="false">SUM(M9:O9)</f>
        <v>19.31</v>
      </c>
    </row>
    <row r="10" customFormat="false" ht="13" hidden="false" customHeight="false" outlineLevel="0" collapsed="false">
      <c r="A10" s="10" t="s">
        <v>18</v>
      </c>
      <c r="B10" s="28" t="n">
        <v>10</v>
      </c>
      <c r="C10" s="29" t="n">
        <v>18</v>
      </c>
      <c r="D10" s="29" t="n">
        <v>0</v>
      </c>
      <c r="E10" s="29" t="n">
        <v>19</v>
      </c>
      <c r="F10" s="29" t="n">
        <v>12</v>
      </c>
      <c r="G10" s="29" t="n">
        <v>1200</v>
      </c>
      <c r="H10" s="29" t="n">
        <v>0</v>
      </c>
      <c r="I10" s="29" t="n">
        <v>79</v>
      </c>
      <c r="J10" s="29" t="n">
        <v>109</v>
      </c>
      <c r="K10" s="30" t="n">
        <f aca="false">SUM(C10:F10)</f>
        <v>49</v>
      </c>
      <c r="L10" s="31" t="n">
        <v>13</v>
      </c>
      <c r="M10" s="32" t="n">
        <v>15</v>
      </c>
      <c r="N10" s="32" t="n">
        <v>0</v>
      </c>
      <c r="O10" s="32" t="n">
        <v>33</v>
      </c>
      <c r="P10" s="32" t="n">
        <v>14</v>
      </c>
      <c r="Q10" s="32" t="n">
        <v>1217</v>
      </c>
      <c r="R10" s="32" t="n">
        <v>0</v>
      </c>
      <c r="S10" s="32" t="n">
        <v>110</v>
      </c>
      <c r="T10" s="32" t="n">
        <v>48</v>
      </c>
      <c r="U10" s="33" t="n">
        <f aca="false">SUM(M10:O10)</f>
        <v>48</v>
      </c>
    </row>
    <row r="11" customFormat="false" ht="13" hidden="false" customHeight="false" outlineLevel="0" collapsed="false">
      <c r="A11" s="10" t="s">
        <v>19</v>
      </c>
      <c r="B11" s="28" t="n">
        <v>17</v>
      </c>
      <c r="C11" s="29" t="n">
        <v>21</v>
      </c>
      <c r="D11" s="29" t="n">
        <v>0</v>
      </c>
      <c r="E11" s="29" t="n">
        <v>31</v>
      </c>
      <c r="F11" s="29" t="n">
        <v>10</v>
      </c>
      <c r="G11" s="29" t="n">
        <v>1229</v>
      </c>
      <c r="H11" s="29" t="n">
        <v>0</v>
      </c>
      <c r="I11" s="29" t="n">
        <v>84</v>
      </c>
      <c r="J11" s="29" t="n">
        <v>62</v>
      </c>
      <c r="K11" s="30" t="n">
        <f aca="false">SUM(C11:F11)</f>
        <v>62</v>
      </c>
      <c r="L11" s="31" t="n">
        <v>18</v>
      </c>
      <c r="M11" s="32" t="n">
        <v>13</v>
      </c>
      <c r="N11" s="32" t="n">
        <v>0</v>
      </c>
      <c r="O11" s="32" t="n">
        <v>23</v>
      </c>
      <c r="P11" s="32" t="n">
        <v>17</v>
      </c>
      <c r="Q11" s="32" t="n">
        <v>1227</v>
      </c>
      <c r="R11" s="32" t="n">
        <v>0</v>
      </c>
      <c r="S11" s="32" t="n">
        <v>67</v>
      </c>
      <c r="T11" s="32" t="n">
        <v>90</v>
      </c>
      <c r="U11" s="33" t="n">
        <f aca="false">SUM(M11:O11)</f>
        <v>36</v>
      </c>
    </row>
    <row r="12" customFormat="false" ht="13" hidden="false" customHeight="false" outlineLevel="0" collapsed="false">
      <c r="A12" s="10" t="s">
        <v>20</v>
      </c>
      <c r="B12" s="28" t="n">
        <v>20</v>
      </c>
      <c r="C12" s="29" t="n">
        <v>15</v>
      </c>
      <c r="D12" s="29" t="n">
        <v>0</v>
      </c>
      <c r="E12" s="29" t="n">
        <v>12</v>
      </c>
      <c r="F12" s="29" t="n">
        <v>23</v>
      </c>
      <c r="G12" s="29" t="n">
        <v>1219</v>
      </c>
      <c r="H12" s="29" t="n">
        <v>0</v>
      </c>
      <c r="I12" s="29" t="n">
        <v>45</v>
      </c>
      <c r="J12" s="29" t="n">
        <v>123</v>
      </c>
      <c r="K12" s="30" t="n">
        <f aca="false">SUM(C12:F12)</f>
        <v>50</v>
      </c>
      <c r="L12" s="31" t="n">
        <v>8</v>
      </c>
      <c r="M12" s="32" t="n">
        <v>17</v>
      </c>
      <c r="N12" s="32" t="n">
        <v>0</v>
      </c>
      <c r="O12" s="32" t="n">
        <v>14</v>
      </c>
      <c r="P12" s="32" t="n">
        <v>21</v>
      </c>
      <c r="Q12" s="32" t="n">
        <v>1205</v>
      </c>
      <c r="R12" s="32" t="n">
        <v>0</v>
      </c>
      <c r="S12" s="32" t="n">
        <v>56</v>
      </c>
      <c r="T12" s="32" t="n">
        <v>125</v>
      </c>
      <c r="U12" s="33" t="n">
        <f aca="false">SUM(M12:O12)</f>
        <v>31</v>
      </c>
    </row>
    <row r="13" customFormat="false" ht="13" hidden="false" customHeight="false" outlineLevel="0" collapsed="false">
      <c r="A13" s="10" t="s">
        <v>21</v>
      </c>
      <c r="B13" s="28" t="n">
        <v>33</v>
      </c>
      <c r="C13" s="29" t="n">
        <v>11</v>
      </c>
      <c r="D13" s="29" t="n">
        <v>0</v>
      </c>
      <c r="E13" s="29" t="n">
        <v>22</v>
      </c>
      <c r="F13" s="29" t="n">
        <v>11</v>
      </c>
      <c r="G13" s="29" t="n">
        <v>1261</v>
      </c>
      <c r="H13" s="29" t="n">
        <v>0</v>
      </c>
      <c r="I13" s="29" t="n">
        <v>78</v>
      </c>
      <c r="J13" s="29" t="n">
        <v>55</v>
      </c>
      <c r="K13" s="30" t="n">
        <f aca="false">SUM(C13:F13)</f>
        <v>44</v>
      </c>
      <c r="L13" s="31" t="n">
        <v>18</v>
      </c>
      <c r="M13" s="32" t="n">
        <v>12</v>
      </c>
      <c r="N13" s="32" t="n">
        <v>0</v>
      </c>
      <c r="O13" s="32" t="n">
        <v>23</v>
      </c>
      <c r="P13" s="32" t="n">
        <v>13</v>
      </c>
      <c r="Q13" s="32" t="n">
        <v>1218</v>
      </c>
      <c r="R13" s="32" t="n">
        <v>0</v>
      </c>
      <c r="S13" s="32" t="n">
        <v>108</v>
      </c>
      <c r="T13" s="32" t="n">
        <v>64</v>
      </c>
      <c r="U13" s="33" t="n">
        <f aca="false">SUM(M13:O13)</f>
        <v>35</v>
      </c>
    </row>
    <row r="14" customFormat="false" ht="13" hidden="false" customHeight="false" outlineLevel="0" collapsed="false">
      <c r="A14" s="10" t="s">
        <v>22</v>
      </c>
      <c r="B14" s="28" t="n">
        <v>65</v>
      </c>
      <c r="C14" s="29" t="n">
        <v>24</v>
      </c>
      <c r="D14" s="29" t="n">
        <v>0</v>
      </c>
      <c r="E14" s="29" t="n">
        <v>13</v>
      </c>
      <c r="F14" s="29" t="n">
        <v>37</v>
      </c>
      <c r="G14" s="29" t="n">
        <v>1060</v>
      </c>
      <c r="H14" s="29" t="n">
        <v>0</v>
      </c>
      <c r="I14" s="29" t="n">
        <v>75</v>
      </c>
      <c r="J14" s="29" t="n">
        <v>228</v>
      </c>
      <c r="K14" s="30" t="n">
        <f aca="false">SUM(C14:F14)</f>
        <v>74</v>
      </c>
      <c r="L14" s="31" t="n">
        <v>46</v>
      </c>
      <c r="M14" s="32" t="n">
        <v>16</v>
      </c>
      <c r="N14" s="32" t="n">
        <v>0</v>
      </c>
      <c r="O14" s="32" t="n">
        <v>11</v>
      </c>
      <c r="P14" s="32" t="n">
        <v>29</v>
      </c>
      <c r="Q14" s="32" t="n">
        <v>1155</v>
      </c>
      <c r="R14" s="32" t="n">
        <v>0</v>
      </c>
      <c r="S14" s="32" t="n">
        <v>55</v>
      </c>
      <c r="T14" s="32" t="n">
        <v>170</v>
      </c>
      <c r="U14" s="33" t="n">
        <f aca="false">SUM(M14:O14)</f>
        <v>27</v>
      </c>
    </row>
    <row r="15" customFormat="false" ht="13" hidden="false" customHeight="false" outlineLevel="0" collapsed="false">
      <c r="A15" s="10" t="s">
        <v>23</v>
      </c>
      <c r="B15" s="28" t="n">
        <v>53</v>
      </c>
      <c r="C15" s="29" t="n">
        <v>12</v>
      </c>
      <c r="D15" s="29" t="n">
        <v>0</v>
      </c>
      <c r="E15" s="29" t="n">
        <v>16</v>
      </c>
      <c r="F15" s="29" t="n">
        <v>32</v>
      </c>
      <c r="G15" s="29" t="n">
        <v>1183</v>
      </c>
      <c r="H15" s="29" t="n">
        <v>0</v>
      </c>
      <c r="I15" s="29" t="n">
        <v>34</v>
      </c>
      <c r="J15" s="29" t="n">
        <v>160</v>
      </c>
      <c r="K15" s="30" t="n">
        <f aca="false">SUM(C15:F15)</f>
        <v>60</v>
      </c>
      <c r="L15" s="31" t="n">
        <v>29</v>
      </c>
      <c r="M15" s="32" t="n">
        <v>14</v>
      </c>
      <c r="N15" s="32" t="n">
        <v>0</v>
      </c>
      <c r="O15" s="32" t="n">
        <v>10</v>
      </c>
      <c r="P15" s="32" t="n">
        <v>25</v>
      </c>
      <c r="Q15" s="32" t="n">
        <v>1243</v>
      </c>
      <c r="R15" s="32" t="n">
        <v>0</v>
      </c>
      <c r="S15" s="32" t="n">
        <v>36</v>
      </c>
      <c r="T15" s="32" t="n">
        <v>109</v>
      </c>
      <c r="U15" s="33" t="n">
        <f aca="false">SUM(M15:O15)</f>
        <v>24</v>
      </c>
    </row>
    <row r="16" customFormat="false" ht="13" hidden="false" customHeight="false" outlineLevel="0" collapsed="false">
      <c r="A16" s="10" t="s">
        <v>24</v>
      </c>
      <c r="B16" s="28" t="n">
        <v>125</v>
      </c>
      <c r="C16" s="29" t="n">
        <v>18</v>
      </c>
      <c r="D16" s="29" t="n">
        <v>0</v>
      </c>
      <c r="E16" s="29" t="n">
        <v>0</v>
      </c>
      <c r="F16" s="29" t="n">
        <v>52</v>
      </c>
      <c r="G16" s="29" t="n">
        <v>1033</v>
      </c>
      <c r="H16" s="29" t="n">
        <v>0</v>
      </c>
      <c r="I16" s="29" t="n">
        <v>0</v>
      </c>
      <c r="J16" s="29" t="n">
        <v>335</v>
      </c>
      <c r="K16" s="30" t="n">
        <f aca="false">SUM(C16:F16)</f>
        <v>70</v>
      </c>
      <c r="L16" s="31" t="n">
        <v>86</v>
      </c>
      <c r="M16" s="32" t="n">
        <v>18</v>
      </c>
      <c r="N16" s="32" t="n">
        <v>0</v>
      </c>
      <c r="O16" s="32" t="n">
        <v>0</v>
      </c>
      <c r="P16" s="32" t="n">
        <v>55</v>
      </c>
      <c r="Q16" s="32" t="n">
        <v>1051</v>
      </c>
      <c r="R16" s="32" t="n">
        <v>0</v>
      </c>
      <c r="S16" s="32" t="n">
        <v>0</v>
      </c>
      <c r="T16" s="32" t="n">
        <v>315</v>
      </c>
      <c r="U16" s="33" t="n">
        <f aca="false">SUM(M16:O16)</f>
        <v>18</v>
      </c>
    </row>
    <row r="17" customFormat="false" ht="13" hidden="false" customHeight="false" outlineLevel="0" collapsed="false">
      <c r="A17" s="10" t="s">
        <v>25</v>
      </c>
      <c r="B17" s="28" t="n">
        <v>180</v>
      </c>
      <c r="C17" s="29" t="n">
        <v>27.72778</v>
      </c>
      <c r="D17" s="29" t="n">
        <v>0</v>
      </c>
      <c r="E17" s="29" t="n">
        <v>10.90556</v>
      </c>
      <c r="F17" s="29" t="n">
        <v>16.3</v>
      </c>
      <c r="G17" s="29" t="n">
        <v>1206.994</v>
      </c>
      <c r="H17" s="29" t="n">
        <v>0</v>
      </c>
      <c r="I17" s="29" t="n">
        <v>44.71111</v>
      </c>
      <c r="J17" s="29" t="n">
        <v>133.3611</v>
      </c>
      <c r="K17" s="30" t="n">
        <f aca="false">SUM(C17:F17)</f>
        <v>54.93334</v>
      </c>
      <c r="L17" s="31" t="n">
        <v>108</v>
      </c>
      <c r="M17" s="32" t="n">
        <v>28.01852</v>
      </c>
      <c r="N17" s="32" t="n">
        <v>0</v>
      </c>
      <c r="O17" s="32" t="n">
        <v>12.25</v>
      </c>
      <c r="P17" s="32" t="n">
        <v>16.2963</v>
      </c>
      <c r="Q17" s="32" t="n">
        <v>1217.028</v>
      </c>
      <c r="R17" s="32" t="n">
        <v>0</v>
      </c>
      <c r="S17" s="32" t="n">
        <v>54.09259</v>
      </c>
      <c r="T17" s="32" t="n">
        <v>112.3148</v>
      </c>
      <c r="U17" s="33" t="n">
        <f aca="false">SUM(M17:O17)</f>
        <v>40.26852</v>
      </c>
    </row>
    <row r="18" customFormat="false" ht="13" hidden="false" customHeight="false" outlineLevel="0" collapsed="false">
      <c r="A18" s="10" t="s">
        <v>26</v>
      </c>
      <c r="B18" s="28" t="n">
        <v>169</v>
      </c>
      <c r="C18" s="29" t="n">
        <v>28.83432</v>
      </c>
      <c r="D18" s="29" t="n">
        <v>0</v>
      </c>
      <c r="E18" s="29" t="n">
        <v>10.97041</v>
      </c>
      <c r="F18" s="29" t="n">
        <v>16.81657</v>
      </c>
      <c r="G18" s="29" t="n">
        <v>1200.325</v>
      </c>
      <c r="H18" s="29" t="n">
        <v>0</v>
      </c>
      <c r="I18" s="29" t="n">
        <v>48.86391</v>
      </c>
      <c r="J18" s="29" t="n">
        <v>134.1893</v>
      </c>
      <c r="K18" s="30" t="n">
        <f aca="false">SUM(C18:F18)</f>
        <v>56.6213</v>
      </c>
      <c r="L18" s="31" t="n">
        <v>96</v>
      </c>
      <c r="M18" s="32" t="n">
        <v>27.71875</v>
      </c>
      <c r="N18" s="32" t="n">
        <v>0</v>
      </c>
      <c r="O18" s="32" t="n">
        <v>10.21875</v>
      </c>
      <c r="P18" s="32" t="n">
        <v>15.70833</v>
      </c>
      <c r="Q18" s="32" t="n">
        <v>1191.458</v>
      </c>
      <c r="R18" s="32" t="n">
        <v>0</v>
      </c>
      <c r="S18" s="32" t="n">
        <v>49.22917</v>
      </c>
      <c r="T18" s="32" t="n">
        <v>145.6667</v>
      </c>
      <c r="U18" s="33" t="n">
        <f aca="false">SUM(M18:O18)</f>
        <v>37.9375</v>
      </c>
    </row>
    <row r="19" customFormat="false" ht="13" hidden="false" customHeight="false" outlineLevel="0" collapsed="false">
      <c r="A19" s="10" t="s">
        <v>27</v>
      </c>
      <c r="B19" s="28" t="n">
        <v>394</v>
      </c>
      <c r="C19" s="29" t="n">
        <v>28.8401</v>
      </c>
      <c r="D19" s="29" t="n">
        <v>0</v>
      </c>
      <c r="E19" s="29" t="n">
        <v>0</v>
      </c>
      <c r="F19" s="29" t="n">
        <v>28.40102</v>
      </c>
      <c r="G19" s="29" t="n">
        <v>1131.985</v>
      </c>
      <c r="H19" s="29" t="n">
        <v>0</v>
      </c>
      <c r="I19" s="29" t="n">
        <v>0</v>
      </c>
      <c r="J19" s="29" t="n">
        <v>250.7741</v>
      </c>
      <c r="K19" s="30" t="n">
        <f aca="false">SUM(C19:F19)</f>
        <v>57.24112</v>
      </c>
      <c r="L19" s="31" t="n">
        <v>268</v>
      </c>
      <c r="M19" s="32" t="n">
        <v>31.36194</v>
      </c>
      <c r="N19" s="32" t="n">
        <v>0</v>
      </c>
      <c r="O19" s="32" t="n">
        <v>0</v>
      </c>
      <c r="P19" s="32" t="n">
        <v>30.97761</v>
      </c>
      <c r="Q19" s="32" t="n">
        <v>1151.854</v>
      </c>
      <c r="R19" s="32" t="n">
        <v>0</v>
      </c>
      <c r="S19" s="32" t="n">
        <v>0</v>
      </c>
      <c r="T19" s="32" t="n">
        <v>225.806</v>
      </c>
      <c r="U19" s="33" t="n">
        <f aca="false">SUM(M19:O19)</f>
        <v>31.36194</v>
      </c>
    </row>
    <row r="20" customFormat="false" ht="14" hidden="false" customHeight="false" outlineLevel="0" collapsed="false">
      <c r="A20" s="22" t="s">
        <v>28</v>
      </c>
      <c r="B20" s="34" t="n">
        <v>2</v>
      </c>
      <c r="C20" s="35" t="n">
        <v>32.5</v>
      </c>
      <c r="D20" s="35" t="n">
        <v>0</v>
      </c>
      <c r="E20" s="35" t="n">
        <v>0</v>
      </c>
      <c r="F20" s="35" t="n">
        <v>25</v>
      </c>
      <c r="G20" s="35" t="n">
        <v>1242.5</v>
      </c>
      <c r="H20" s="35" t="n">
        <v>0</v>
      </c>
      <c r="I20" s="35" t="n">
        <v>0</v>
      </c>
      <c r="J20" s="35" t="n">
        <v>140</v>
      </c>
      <c r="K20" s="36" t="n">
        <f aca="false">SUM(C20:F20)</f>
        <v>57.5</v>
      </c>
      <c r="L20" s="37" t="n">
        <v>2</v>
      </c>
      <c r="M20" s="38" t="n">
        <v>23.5</v>
      </c>
      <c r="N20" s="38" t="n">
        <v>0</v>
      </c>
      <c r="O20" s="38" t="n">
        <v>0</v>
      </c>
      <c r="P20" s="38" t="n">
        <v>23.5</v>
      </c>
      <c r="Q20" s="38" t="n">
        <v>1096.5</v>
      </c>
      <c r="R20" s="38" t="n">
        <v>0</v>
      </c>
      <c r="S20" s="38" t="n">
        <v>0</v>
      </c>
      <c r="T20" s="38" t="n">
        <v>296.5</v>
      </c>
      <c r="U20" s="39" t="n">
        <f aca="false">SUM(M20:O20)</f>
        <v>23.5</v>
      </c>
    </row>
    <row r="22" customFormat="false" ht="13" hidden="false" customHeight="false" outlineLevel="0" collapsed="false">
      <c r="B22" s="40" t="n">
        <f aca="false">SUM(B6:B20)</f>
        <v>2613</v>
      </c>
      <c r="C22" s="40" t="n">
        <f aca="false">B22+L22</f>
        <v>4345</v>
      </c>
      <c r="L22" s="40" t="n">
        <f aca="false">SUM(L6:L20)</f>
        <v>1732</v>
      </c>
    </row>
    <row r="24" customFormat="false" ht="13" hidden="false" customHeight="false" outlineLevel="0" collapsed="false">
      <c r="A24" s="0" t="n">
        <v>1111</v>
      </c>
    </row>
    <row r="25" customFormat="false" ht="13" hidden="false" customHeight="false" outlineLevel="0" collapsed="false">
      <c r="A25" s="0" t="n">
        <v>1112</v>
      </c>
    </row>
    <row r="26" customFormat="false" ht="13" hidden="false" customHeight="false" outlineLevel="0" collapsed="false">
      <c r="A26" s="0" t="n">
        <v>1113</v>
      </c>
    </row>
    <row r="27" customFormat="false" ht="13" hidden="false" customHeight="false" outlineLevel="0" collapsed="false">
      <c r="A27" s="0" t="n">
        <v>1114</v>
      </c>
    </row>
    <row r="28" customFormat="false" ht="13" hidden="false" customHeight="false" outlineLevel="0" collapsed="false">
      <c r="A28" s="0" t="n">
        <v>1211</v>
      </c>
    </row>
    <row r="29" customFormat="false" ht="13" hidden="false" customHeight="false" outlineLevel="0" collapsed="false">
      <c r="A29" s="0" t="n">
        <v>1212</v>
      </c>
    </row>
    <row r="30" customFormat="false" ht="13" hidden="false" customHeight="false" outlineLevel="0" collapsed="false">
      <c r="A30" s="0" t="n">
        <v>1213</v>
      </c>
    </row>
    <row r="31" customFormat="false" ht="13" hidden="false" customHeight="false" outlineLevel="0" collapsed="false">
      <c r="A31" s="0" t="n">
        <v>1214</v>
      </c>
    </row>
    <row r="32" customFormat="false" ht="13" hidden="false" customHeight="false" outlineLevel="0" collapsed="false">
      <c r="A32" s="0" t="n">
        <v>1221</v>
      </c>
    </row>
    <row r="33" customFormat="false" ht="13" hidden="false" customHeight="false" outlineLevel="0" collapsed="false">
      <c r="A33" s="0" t="n">
        <v>1222</v>
      </c>
    </row>
    <row r="34" customFormat="false" ht="13" hidden="false" customHeight="false" outlineLevel="0" collapsed="false">
      <c r="A34" s="0" t="n">
        <v>1223</v>
      </c>
    </row>
    <row r="35" customFormat="false" ht="13" hidden="false" customHeight="false" outlineLevel="0" collapsed="false">
      <c r="A35" s="0" t="n">
        <v>1224</v>
      </c>
    </row>
    <row r="36" customFormat="false" ht="13" hidden="false" customHeight="false" outlineLevel="0" collapsed="false">
      <c r="A36" s="0" t="n">
        <v>1231</v>
      </c>
    </row>
    <row r="37" customFormat="false" ht="13" hidden="false" customHeight="false" outlineLevel="0" collapsed="false">
      <c r="A37" s="0" t="n">
        <v>1232</v>
      </c>
    </row>
    <row r="38" customFormat="false" ht="13" hidden="false" customHeight="false" outlineLevel="0" collapsed="false">
      <c r="A38" s="0" t="n">
        <v>1233</v>
      </c>
    </row>
    <row r="39" customFormat="false" ht="13" hidden="false" customHeight="false" outlineLevel="0" collapsed="false">
      <c r="A39" s="0" t="n">
        <v>1234</v>
      </c>
    </row>
    <row r="40" customFormat="false" ht="13" hidden="false" customHeight="false" outlineLevel="0" collapsed="false">
      <c r="A40" s="0" t="n">
        <v>1241</v>
      </c>
    </row>
    <row r="41" customFormat="false" ht="13" hidden="false" customHeight="false" outlineLevel="0" collapsed="false">
      <c r="A41" s="0" t="n">
        <v>1242</v>
      </c>
    </row>
    <row r="42" customFormat="false" ht="13" hidden="false" customHeight="false" outlineLevel="0" collapsed="false">
      <c r="A42" s="0" t="n">
        <v>1243</v>
      </c>
    </row>
    <row r="43" customFormat="false" ht="13" hidden="false" customHeight="false" outlineLevel="0" collapsed="false">
      <c r="A43" s="0" t="n">
        <v>1244</v>
      </c>
    </row>
    <row r="44" customFormat="false" ht="13" hidden="false" customHeight="false" outlineLevel="0" collapsed="false">
      <c r="A44" s="0" t="n">
        <v>1311</v>
      </c>
    </row>
    <row r="45" customFormat="false" ht="13" hidden="false" customHeight="false" outlineLevel="0" collapsed="false">
      <c r="A45" s="0" t="n">
        <v>1312</v>
      </c>
    </row>
    <row r="46" customFormat="false" ht="13" hidden="false" customHeight="false" outlineLevel="0" collapsed="false">
      <c r="A46" s="0" t="n">
        <v>1313</v>
      </c>
    </row>
    <row r="47" customFormat="false" ht="13" hidden="false" customHeight="false" outlineLevel="0" collapsed="false">
      <c r="A47" s="0" t="n">
        <v>1314</v>
      </c>
    </row>
    <row r="48" customFormat="false" ht="13" hidden="false" customHeight="false" outlineLevel="0" collapsed="false">
      <c r="A48" s="0" t="n">
        <v>1321</v>
      </c>
    </row>
    <row r="49" customFormat="false" ht="13" hidden="false" customHeight="false" outlineLevel="0" collapsed="false">
      <c r="A49" s="0" t="n">
        <v>1322</v>
      </c>
    </row>
    <row r="50" customFormat="false" ht="13" hidden="false" customHeight="false" outlineLevel="0" collapsed="false">
      <c r="A50" s="0" t="n">
        <v>1323</v>
      </c>
    </row>
    <row r="51" customFormat="false" ht="13" hidden="false" customHeight="false" outlineLevel="0" collapsed="false">
      <c r="A51" s="0" t="n">
        <v>1324</v>
      </c>
    </row>
    <row r="52" customFormat="false" ht="13" hidden="false" customHeight="false" outlineLevel="0" collapsed="false">
      <c r="A52" s="0" t="n">
        <v>1331</v>
      </c>
    </row>
    <row r="53" customFormat="false" ht="13" hidden="false" customHeight="false" outlineLevel="0" collapsed="false">
      <c r="A53" s="0" t="n">
        <v>1332</v>
      </c>
    </row>
    <row r="54" customFormat="false" ht="13" hidden="false" customHeight="false" outlineLevel="0" collapsed="false">
      <c r="A54" s="0" t="n">
        <v>1333</v>
      </c>
    </row>
    <row r="55" customFormat="false" ht="13" hidden="false" customHeight="false" outlineLevel="0" collapsed="false">
      <c r="A55" s="0" t="n">
        <v>1334</v>
      </c>
    </row>
    <row r="56" customFormat="false" ht="13" hidden="false" customHeight="false" outlineLevel="0" collapsed="false">
      <c r="A56" s="0" t="n">
        <v>1341</v>
      </c>
    </row>
    <row r="57" customFormat="false" ht="13" hidden="false" customHeight="false" outlineLevel="0" collapsed="false">
      <c r="A57" s="0" t="n">
        <v>1342</v>
      </c>
    </row>
    <row r="58" customFormat="false" ht="13" hidden="false" customHeight="false" outlineLevel="0" collapsed="false">
      <c r="A58" s="0" t="n">
        <v>1343</v>
      </c>
    </row>
    <row r="59" customFormat="false" ht="13" hidden="false" customHeight="false" outlineLevel="0" collapsed="false">
      <c r="A59" s="0" t="n">
        <v>1344</v>
      </c>
    </row>
    <row r="60" customFormat="false" ht="13" hidden="false" customHeight="false" outlineLevel="0" collapsed="false">
      <c r="A60" s="0" t="n">
        <v>1411</v>
      </c>
    </row>
    <row r="61" customFormat="false" ht="13" hidden="false" customHeight="false" outlineLevel="0" collapsed="false">
      <c r="A61" s="0" t="n">
        <v>1412</v>
      </c>
    </row>
    <row r="62" customFormat="false" ht="13" hidden="false" customHeight="false" outlineLevel="0" collapsed="false">
      <c r="A62" s="0" t="n">
        <v>1413</v>
      </c>
    </row>
    <row r="63" customFormat="false" ht="13" hidden="false" customHeight="false" outlineLevel="0" collapsed="false">
      <c r="A63" s="0" t="n">
        <v>1414</v>
      </c>
    </row>
    <row r="64" customFormat="false" ht="13" hidden="false" customHeight="false" outlineLevel="0" collapsed="false">
      <c r="A64" s="0" t="n">
        <v>1421</v>
      </c>
    </row>
    <row r="65" customFormat="false" ht="13" hidden="false" customHeight="false" outlineLevel="0" collapsed="false">
      <c r="A65" s="0" t="n">
        <v>1422</v>
      </c>
    </row>
    <row r="66" customFormat="false" ht="13" hidden="false" customHeight="false" outlineLevel="0" collapsed="false">
      <c r="A66" s="0" t="n">
        <v>1423</v>
      </c>
    </row>
    <row r="67" customFormat="false" ht="13" hidden="false" customHeight="false" outlineLevel="0" collapsed="false">
      <c r="A67" s="0" t="n">
        <v>1424</v>
      </c>
    </row>
    <row r="68" customFormat="false" ht="13" hidden="false" customHeight="false" outlineLevel="0" collapsed="false">
      <c r="A68" s="0" t="n">
        <v>1431</v>
      </c>
    </row>
    <row r="69" customFormat="false" ht="13" hidden="false" customHeight="false" outlineLevel="0" collapsed="false">
      <c r="A69" s="0" t="n">
        <v>1432</v>
      </c>
    </row>
    <row r="70" customFormat="false" ht="13" hidden="false" customHeight="false" outlineLevel="0" collapsed="false">
      <c r="A70" s="0" t="n">
        <v>1433</v>
      </c>
    </row>
    <row r="71" customFormat="false" ht="13" hidden="false" customHeight="false" outlineLevel="0" collapsed="false">
      <c r="A71" s="0" t="n">
        <v>1434</v>
      </c>
    </row>
    <row r="72" customFormat="false" ht="13" hidden="false" customHeight="false" outlineLevel="0" collapsed="false">
      <c r="A72" s="0" t="n">
        <v>1441</v>
      </c>
    </row>
    <row r="73" customFormat="false" ht="13" hidden="false" customHeight="false" outlineLevel="0" collapsed="false">
      <c r="A73" s="0" t="n">
        <v>1442</v>
      </c>
    </row>
    <row r="74" customFormat="false" ht="13" hidden="false" customHeight="false" outlineLevel="0" collapsed="false">
      <c r="A74" s="0" t="n">
        <v>1443</v>
      </c>
    </row>
    <row r="75" customFormat="false" ht="13" hidden="false" customHeight="false" outlineLevel="0" collapsed="false">
      <c r="A75" s="0" t="n">
        <v>1444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2000-10-28T04:04:41Z</dcterms:created>
  <dc:creator>Sesh</dc:creator>
  <dc:description/>
  <dc:language>en-AU</dc:language>
  <cp:lastModifiedBy>Sesh</cp:lastModifiedBy>
  <cp:revision>0</cp:revision>
  <dc:subject/>
  <dc:title/>
</cp:coreProperties>
</file>