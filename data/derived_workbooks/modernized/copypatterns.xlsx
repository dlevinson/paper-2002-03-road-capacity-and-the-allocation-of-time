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s" sheetId="1" state="visible" r:id="rId3"/>
    <sheet name="Travel by Pattern" sheetId="2" state="visible" r:id="rId4"/>
    <sheet name="Time at Home" sheetId="3" state="visible" r:id="rId5"/>
    <sheet name="Sheet1" sheetId="4" state="visible" r:id="rId6"/>
    <sheet name="Sheet2" sheetId="5" state="visible" r:id="rId7"/>
    <sheet name="Sheet3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<sst xmlns="http://schemas.openxmlformats.org/spreadsheetml/2006/main" count="73" uniqueCount="63">
  <si>
    <t xml:space="preserve">WORKERS</t>
  </si>
  <si>
    <t xml:space="preserve">        NON WORKERS</t>
  </si>
  <si>
    <t xml:space="preserve">NON-WORKERS</t>
  </si>
  <si>
    <t xml:space="preserve">Patterns</t>
  </si>
  <si>
    <t xml:space="preserve">Observations</t>
  </si>
  <si>
    <t xml:space="preserve">tt1</t>
  </si>
  <si>
    <t xml:space="preserve">tt2</t>
  </si>
  <si>
    <t xml:space="preserve">tt3</t>
  </si>
  <si>
    <t xml:space="preserve">tt4</t>
  </si>
  <si>
    <t xml:space="preserve">act1</t>
  </si>
  <si>
    <t xml:space="preserve">act2 </t>
  </si>
  <si>
    <t xml:space="preserve">act3</t>
  </si>
  <si>
    <t xml:space="preserve">act4</t>
  </si>
  <si>
    <t xml:space="preserve">Travel</t>
  </si>
  <si>
    <t xml:space="preserve">HWH</t>
  </si>
  <si>
    <t xml:space="preserve">HSH</t>
  </si>
  <si>
    <t xml:space="preserve">HOH</t>
  </si>
  <si>
    <t xml:space="preserve">HWSH</t>
  </si>
  <si>
    <t xml:space="preserve">HSWH</t>
  </si>
  <si>
    <t xml:space="preserve">HWOH</t>
  </si>
  <si>
    <t xml:space="preserve">HOWH</t>
  </si>
  <si>
    <t xml:space="preserve">HSOH</t>
  </si>
  <si>
    <t xml:space="preserve">HOSH</t>
  </si>
  <si>
    <t xml:space="preserve">HWWH</t>
  </si>
  <si>
    <t xml:space="preserve">HSSH</t>
  </si>
  <si>
    <t xml:space="preserve">HOOH</t>
  </si>
  <si>
    <t xml:space="preserve">HWWWH</t>
  </si>
  <si>
    <t xml:space="preserve">HWWSH</t>
  </si>
  <si>
    <t xml:space="preserve">HWWOH</t>
  </si>
  <si>
    <t xml:space="preserve">HWSWH</t>
  </si>
  <si>
    <t xml:space="preserve">HWSSH</t>
  </si>
  <si>
    <t xml:space="preserve">HWSOH</t>
  </si>
  <si>
    <t xml:space="preserve">HWOWH</t>
  </si>
  <si>
    <t xml:space="preserve">HWOSH</t>
  </si>
  <si>
    <t xml:space="preserve">HWOOH</t>
  </si>
  <si>
    <t xml:space="preserve">HSWWH</t>
  </si>
  <si>
    <t xml:space="preserve">HSWSH</t>
  </si>
  <si>
    <t xml:space="preserve">HSWOH</t>
  </si>
  <si>
    <t xml:space="preserve">HSSWH</t>
  </si>
  <si>
    <t xml:space="preserve">HSSSH</t>
  </si>
  <si>
    <t xml:space="preserve">HSSOH</t>
  </si>
  <si>
    <t xml:space="preserve">HSOWH</t>
  </si>
  <si>
    <t xml:space="preserve">HSOSH</t>
  </si>
  <si>
    <t xml:space="preserve">HSOOH</t>
  </si>
  <si>
    <t xml:space="preserve">HOWWH</t>
  </si>
  <si>
    <t xml:space="preserve">HOWSH</t>
  </si>
  <si>
    <t xml:space="preserve">HOWOH</t>
  </si>
  <si>
    <t xml:space="preserve">HOSWH</t>
  </si>
  <si>
    <t xml:space="preserve">HOSSH</t>
  </si>
  <si>
    <t xml:space="preserve">HOSOH</t>
  </si>
  <si>
    <t xml:space="preserve">HOOWH</t>
  </si>
  <si>
    <t xml:space="preserve">HOOSH</t>
  </si>
  <si>
    <t xml:space="preserve">HOOOH</t>
  </si>
  <si>
    <t xml:space="preserve">HWHWH</t>
  </si>
  <si>
    <t xml:space="preserve">HWHSH</t>
  </si>
  <si>
    <t xml:space="preserve">HWHOH</t>
  </si>
  <si>
    <t xml:space="preserve">HSHWH</t>
  </si>
  <si>
    <t xml:space="preserve">HSHSH</t>
  </si>
  <si>
    <t xml:space="preserve">HSHOH</t>
  </si>
  <si>
    <t xml:space="preserve">HOHWH</t>
  </si>
  <si>
    <t xml:space="preserve">HOHSH</t>
  </si>
  <si>
    <t xml:space="preserve">HOHOH</t>
  </si>
  <si>
    <t xml:space="preserve">HOOHH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</si>
</sst>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2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Geneva"/>
      <family val="2"/>
    </font>
    <font>
      <sz val="10.25"/>
      <color rgb="FF000000"/>
      <name val="Geneva"/>
      <family val="2"/>
    </font>
    <font>
      <b val="true"/>
      <sz val="10.25"/>
      <color rgb="FF000000"/>
      <name val="Geneva"/>
      <family val="2"/>
    </font>
    <font>
      <sz val="10.25"/>
      <name val="Geneva"/>
      <family val="0"/>
    </font>
    <font>
      <b val="true"/>
      <sz val="20.25"/>
      <color rgb="FF000000"/>
      <name val="Geneva"/>
      <family val="2"/>
    </font>
    <font>
      <b val="true"/>
      <sz val="9"/>
      <name val="Geneva"/>
      <family val="0"/>
    </font>
    <font>
      <sz val="9"/>
      <color rgb="FF993300"/>
      <name val="Geneva"/>
      <family val="0"/>
    </font>
    <font>
      <sz val="9"/>
      <color rgb="FFFF00FF"/>
      <name val="Geneva"/>
      <family val="0"/>
    </font>
  </fonts>
  <fills count="5">
    <fill>
      <patternFill patternType="none"/>
    </fill>
    <fill>
      <patternFill patternType="gray125"/>
    </fill>
    <fill>
      <patternFill patternType="solid">
        <fgColor rgb="FF00CCFF"/>
        <bgColor rgb="FF33CCCC"/>
      </patternFill>
    </fill>
    <fill>
      <patternFill patternType="solid">
        <fgColor rgb="FFFF6600"/>
        <bgColor rgb="FFFF9900"/>
      </patternFill>
    </fill>
    <fill>
      <patternFill patternType="solid">
        <fgColor rgb="FFFF00FF"/>
        <bgColor rgb="FFFF00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Trip Patterns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
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Sheet1!$B$6</c:f>
              <c:numCache>
                <c:formatCode>0</c:formatCode>
                <c:ptCount val="1"/>
                <c:pt idx="0">
                  <c:v>4160</c:v>
                </c:pt>
              </c:numCache>
            </c:numRef>
          </c:val>
        </c:ser>
        <c:ser>
          <c:idx val="1"/>
          <c:order val="1"/>
          <c:spPr>
            <a:solidFill>
              <a:srgbClr val="FFFF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Sheet1!$B$7</c:f>
              <c:numCache>
                <c:formatCode>0</c:formatCode>
                <c:ptCount val="1"/>
                <c:pt idx="0">
                  <c:v>522</c:v>
                </c:pt>
              </c:numCache>
            </c:numRef>
          </c:val>
        </c:ser>
        <c:ser>
          <c:idx val="2"/>
          <c:order val="2"/>
          <c:spPr>
            <a:solidFill>
              <a:srgbClr val="CC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Sheet1!$B$8</c:f>
              <c:numCache>
                <c:formatCode>0</c:formatCode>
                <c:ptCount val="1"/>
                <c:pt idx="0">
                  <c:v>1046</c:v>
                </c:pt>
              </c:numCache>
            </c:numRef>
          </c:val>
        </c:ser>
        <c:ser>
          <c:idx val="3"/>
          <c:order val="3"/>
          <c:spPr>
            <a:solidFill>
              <a:srgbClr val="6600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Sheet1!$B$9</c:f>
              <c:numCache>
                <c:formatCode>0</c:formatCode>
                <c:ptCount val="1"/>
                <c:pt idx="0">
                  <c:v>336</c:v>
                </c:pt>
              </c:numCache>
            </c:numRef>
          </c:val>
        </c:ser>
        <c:ser>
          <c:idx val="4"/>
          <c:order val="4"/>
          <c:spPr>
            <a:solidFill>
              <a:srgbClr val="FF8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Sheet1!$B$10</c:f>
              <c:numCache>
                <c:formatCode>0</c:formatCode>
                <c:ptCount val="1"/>
                <c:pt idx="0">
                  <c:v>77</c:v>
                </c:pt>
              </c:numCache>
            </c:numRef>
          </c:val>
        </c:ser>
        <c:ser>
          <c:idx val="5"/>
          <c:order val="5"/>
          <c:spPr>
            <a:solidFill>
              <a:srgbClr val="0066CC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Sheet1!$B$11</c:f>
              <c:numCache>
                <c:formatCode>0</c:formatCode>
                <c:ptCount val="1"/>
                <c:pt idx="0">
                  <c:v>587</c:v>
                </c:pt>
              </c:numCache>
            </c:numRef>
          </c:val>
        </c:ser>
        <c:ser>
          <c:idx val="6"/>
          <c:order val="6"/>
          <c:spPr>
            <a:solidFill>
              <a:srgbClr val="CCCC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Sheet1!$B$12</c:f>
              <c:numCache>
                <c:formatCode>0</c:formatCode>
                <c:ptCount val="1"/>
                <c:pt idx="0">
                  <c:v>285</c:v>
                </c:pt>
              </c:numCache>
            </c:numRef>
          </c:val>
        </c:ser>
        <c:ser>
          <c:idx val="7"/>
          <c:order val="7"/>
          <c:spPr>
            <a:solidFill>
              <a:srgbClr val="0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Sheet1!$B$13</c:f>
              <c:numCache>
                <c:formatCode>0</c:formatCode>
                <c:ptCount val="1"/>
                <c:pt idx="0">
                  <c:v>99</c:v>
                </c:pt>
              </c:numCache>
            </c:numRef>
          </c:val>
        </c:ser>
        <c:ser>
          <c:idx val="8"/>
          <c:order val="8"/>
          <c:spPr>
            <a:solidFill>
              <a:srgbClr val="FF00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Sheet1!$B$14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9"/>
          <c:order val="9"/>
          <c:spPr>
            <a:solidFill>
              <a:srgbClr val="FFFF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Sheet1!$B$15</c:f>
              <c:numCache>
                <c:formatCode>0</c:formatCode>
                <c:ptCount val="1"/>
                <c:pt idx="0">
                  <c:v>161</c:v>
                </c:pt>
              </c:numCache>
            </c:numRef>
          </c:val>
        </c:ser>
        <c:ser>
          <c:idx val="10"/>
          <c:order val="10"/>
          <c:spPr>
            <a:solidFill>
              <a:srgbClr val="00FF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Sheet1!$B$16</c:f>
              <c:numCache>
                <c:formatCode>0</c:formatCode>
                <c:ptCount val="1"/>
                <c:pt idx="0">
                  <c:v>83</c:v>
                </c:pt>
              </c:numCache>
            </c:numRef>
          </c:val>
        </c:ser>
        <c:ser>
          <c:idx val="11"/>
          <c:order val="11"/>
          <c:spPr>
            <a:solidFill>
              <a:srgbClr val="80008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Sheet1!$B$17</c:f>
              <c:numCache>
                <c:formatCode>0</c:formatCode>
                <c:ptCount val="1"/>
                <c:pt idx="0">
                  <c:v>239</c:v>
                </c:pt>
              </c:numCache>
            </c:numRef>
          </c:val>
        </c:ser>
        <c:gapWidth val="150"/>
        <c:overlap val="0"/>
        <c:axId val="53130137"/>
        <c:axId val="65801110"/>
      </c:barChart>
      <c:catAx>
        <c:axId val="531301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65801110"/>
        <c:crossesAt val="0"/>
        <c:auto val="1"/>
        <c:lblAlgn val="ctr"/>
        <c:lblOffset val="100"/>
        <c:noMultiLvlLbl val="0"/>
      </c:catAx>
      <c:valAx>
        <c:axId val="6580111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Number of Observations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3130137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25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200" b="1" u="none" strike="noStrike">
                <a:solidFill>
                  <a:srgbClr val="000000"/>
                </a:solidFill>
                <a:uFillTx/>
                <a:latin typeface="Geneva"/>
              </a:rPr>
              <a:t>Travel by Pattern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"Patterns"</c:f>
              <c:strCache>
                <c:ptCount val="1"/>
                <c:pt idx="0">
                  <c:v>Patterns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Sheet1!$A$6:$A$17</c:f>
              <c:strCache>
                <c:ptCount val="12"/>
                <c:pt idx="0">
                  <c:v>HWH</c:v>
                </c:pt>
                <c:pt idx="1">
                  <c:v>HSH</c:v>
                </c:pt>
                <c:pt idx="2">
                  <c:v>HOH</c:v>
                </c:pt>
                <c:pt idx="3">
                  <c:v>HWSH</c:v>
                </c:pt>
                <c:pt idx="4">
                  <c:v>HSWH</c:v>
                </c:pt>
                <c:pt idx="5">
                  <c:v>HWOH</c:v>
                </c:pt>
                <c:pt idx="6">
                  <c:v>HOWH</c:v>
                </c:pt>
                <c:pt idx="7">
                  <c:v>HSOH</c:v>
                </c:pt>
                <c:pt idx="8">
                  <c:v>HOSH</c:v>
                </c:pt>
                <c:pt idx="9">
                  <c:v>HWWH</c:v>
                </c:pt>
                <c:pt idx="10">
                  <c:v>HSSH</c:v>
                </c:pt>
                <c:pt idx="11">
                  <c:v>HOOH</c:v>
                </c:pt>
              </c:strCache>
            </c:strRef>
          </c:cat>
          <c:val>
            <c:numRef>
              <c:f>Sheet1!$K$6:$K$17</c:f>
              <c:numCache>
                <c:formatCode>0</c:formatCode>
                <c:ptCount val="12"/>
                <c:pt idx="0">
                  <c:v>49.65</c:v>
                </c:pt>
                <c:pt idx="1">
                  <c:v>23.7</c:v>
                </c:pt>
                <c:pt idx="2">
                  <c:v>39.22</c:v>
                </c:pt>
                <c:pt idx="3">
                  <c:v>53.14</c:v>
                </c:pt>
                <c:pt idx="4">
                  <c:v>54.33</c:v>
                </c:pt>
                <c:pt idx="5">
                  <c:v>61.34</c:v>
                </c:pt>
                <c:pt idx="6">
                  <c:v>60.65</c:v>
                </c:pt>
                <c:pt idx="7">
                  <c:v>46.44</c:v>
                </c:pt>
                <c:pt idx="8">
                  <c:v>41.73</c:v>
                </c:pt>
                <c:pt idx="9">
                  <c:v>78.6</c:v>
                </c:pt>
                <c:pt idx="10">
                  <c:v>37.5</c:v>
                </c:pt>
                <c:pt idx="11">
                  <c:v>55.78</c:v>
                </c:pt>
              </c:numCache>
            </c:numRef>
          </c:val>
        </c:ser>
        <c:gapWidth val="150"/>
        <c:overlap val="0"/>
        <c:axId val="85009895"/>
        <c:axId val="53973965"/>
      </c:barChart>
      <c:catAx>
        <c:axId val="850098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53973965"/>
        <c:crossesAt val="0"/>
        <c:auto val="1"/>
        <c:lblAlgn val="ctr"/>
        <c:lblOffset val="100"/>
        <c:noMultiLvlLbl val="0"/>
      </c:catAx>
      <c:valAx>
        <c:axId val="53973965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Travel Time (Minutes)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85009895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25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2025" b="1" u="none" strike="noStrike">
                <a:solidFill>
                  <a:srgbClr val="000000"/>
                </a:solidFill>
                <a:uFillTx/>
                <a:latin typeface="Geneva"/>
              </a:rPr>
              <a:t>Time at Home for Workers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"Time at Home"</c:f>
              <c:strCache>
                <c:ptCount val="1"/>
                <c:pt idx="0">
                  <c:v>Time at Home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Sheet1!$A$6:$A$17</c:f>
              <c:strCache>
                <c:ptCount val="12"/>
                <c:pt idx="0">
                  <c:v>HWH</c:v>
                </c:pt>
                <c:pt idx="1">
                  <c:v>HSH</c:v>
                </c:pt>
                <c:pt idx="2">
                  <c:v>HOH</c:v>
                </c:pt>
                <c:pt idx="3">
                  <c:v>HWSH</c:v>
                </c:pt>
                <c:pt idx="4">
                  <c:v>HSWH</c:v>
                </c:pt>
                <c:pt idx="5">
                  <c:v>HWOH</c:v>
                </c:pt>
                <c:pt idx="6">
                  <c:v>HOWH</c:v>
                </c:pt>
                <c:pt idx="7">
                  <c:v>HSOH</c:v>
                </c:pt>
                <c:pt idx="8">
                  <c:v>HOSH</c:v>
                </c:pt>
                <c:pt idx="9">
                  <c:v>HWWH</c:v>
                </c:pt>
                <c:pt idx="10">
                  <c:v>HSSH</c:v>
                </c:pt>
                <c:pt idx="11">
                  <c:v>HOOH</c:v>
                </c:pt>
              </c:strCache>
            </c:strRef>
          </c:cat>
          <c:val>
            <c:numRef>
              <c:f>Sheet1!$G$6:$G$17</c:f>
              <c:numCache>
                <c:formatCode>0</c:formatCode>
                <c:ptCount val="12"/>
                <c:pt idx="0">
                  <c:v>845.7</c:v>
                </c:pt>
                <c:pt idx="1">
                  <c:v>1360</c:v>
                </c:pt>
                <c:pt idx="2">
                  <c:v>1192</c:v>
                </c:pt>
                <c:pt idx="3">
                  <c:v>850.2</c:v>
                </c:pt>
                <c:pt idx="4">
                  <c:v>858.6</c:v>
                </c:pt>
                <c:pt idx="5">
                  <c:v>787.7</c:v>
                </c:pt>
                <c:pt idx="6">
                  <c:v>821.7</c:v>
                </c:pt>
                <c:pt idx="7">
                  <c:v>1199</c:v>
                </c:pt>
                <c:pt idx="8">
                  <c:v>1269</c:v>
                </c:pt>
                <c:pt idx="9">
                  <c:v>792.7</c:v>
                </c:pt>
                <c:pt idx="10">
                  <c:v>1321</c:v>
                </c:pt>
                <c:pt idx="11">
                  <c:v>1138</c:v>
                </c:pt>
              </c:numCache>
            </c:numRef>
          </c:val>
        </c:ser>
        <c:gapWidth val="150"/>
        <c:overlap val="0"/>
        <c:axId val="2811799"/>
        <c:axId val="2917030"/>
      </c:barChart>
      <c:catAx>
        <c:axId val="28117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Patterns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917030"/>
        <c:crossesAt val="0"/>
        <c:auto val="1"/>
        <c:lblAlgn val="ctr"/>
        <c:lblOffset val="100"/>
        <c:noMultiLvlLbl val="0"/>
      </c:catAx>
      <c:valAx>
        <c:axId val="291703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25" b="1" u="none" strike="noStrike">
                    <a:solidFill>
                      <a:srgbClr val="000000"/>
                    </a:solidFill>
                    <a:uFillTx/>
                    <a:latin typeface="Geneva"/>
                  </a:rPr>
                  <a:t>Time at Home in 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sz="1025" b="0" u="none" strike="noStrike">
                <a:solidFill>
                  <a:srgbClr val="000000"/>
                </a:solidFill>
                <a:uFillTx/>
                <a:latin typeface="Geneva"/>
              </a:defRPr>
            </a:pPr>
          </a:p>
        </c:txPr>
        <c:crossAx val="2811799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sz="1025" b="0" u="none" strike="noStrike">
              <a:solidFill>
                <a:srgbClr val="000000"/>
              </a:solidFill>
              <a:uFillTx/>
              <a:latin typeface="Geneva"/>
            </a:defRPr>
          </a:pPr>
        </a:p>
      </c:txPr>
    </c:legend>
    <c:plotVisOnly val="1"/>
    <c:dispBlanksAs val="gap"/>
  </c:chart>
  <c:spPr>
    <a:noFill/>
    <a:ln w="1260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681120</xdr:colOff>
      <xdr:row>5</xdr:row>
      <xdr:rowOff>27360</xdr:rowOff>
    </xdr:from>
    <xdr:to>
      <xdr:col>2</xdr:col>
      <xdr:colOff>179640</xdr:colOff>
      <xdr:row>6</xdr:row>
      <xdr:rowOff>20160</xdr:rowOff>
    </xdr:to>
    <xdr:sp>
      <xdr:nvSpPr>
        <xdr:cNvPr id="2" name="Text 1"/>
        <xdr:cNvSpPr/>
      </xdr:nvSpPr>
      <xdr:spPr>
        <a:xfrm>
          <a:off x="1494000" y="840240"/>
          <a:ext cx="311400" cy="155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HWH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389880</xdr:colOff>
      <xdr:row>25</xdr:row>
      <xdr:rowOff>111240</xdr:rowOff>
    </xdr:from>
    <xdr:to>
      <xdr:col>2</xdr:col>
      <xdr:colOff>700920</xdr:colOff>
      <xdr:row>26</xdr:row>
      <xdr:rowOff>152640</xdr:rowOff>
    </xdr:to>
    <xdr:sp>
      <xdr:nvSpPr>
        <xdr:cNvPr id="3" name="Text 2"/>
        <xdr:cNvSpPr/>
      </xdr:nvSpPr>
      <xdr:spPr>
        <a:xfrm>
          <a:off x="2015640" y="4175280"/>
          <a:ext cx="311040" cy="20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HSH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90360</xdr:colOff>
      <xdr:row>22</xdr:row>
      <xdr:rowOff>83520</xdr:rowOff>
    </xdr:from>
    <xdr:to>
      <xdr:col>3</xdr:col>
      <xdr:colOff>401760</xdr:colOff>
      <xdr:row>24</xdr:row>
      <xdr:rowOff>125280</xdr:rowOff>
    </xdr:to>
    <xdr:sp>
      <xdr:nvSpPr>
        <xdr:cNvPr id="4" name="Text 3"/>
        <xdr:cNvSpPr/>
      </xdr:nvSpPr>
      <xdr:spPr>
        <a:xfrm>
          <a:off x="2528640" y="3659760"/>
          <a:ext cx="311400" cy="36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HOH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523440</xdr:colOff>
      <xdr:row>25</xdr:row>
      <xdr:rowOff>44640</xdr:rowOff>
    </xdr:from>
    <xdr:to>
      <xdr:col>4</xdr:col>
      <xdr:colOff>133200</xdr:colOff>
      <xdr:row>26</xdr:row>
      <xdr:rowOff>86040</xdr:rowOff>
    </xdr:to>
    <xdr:sp>
      <xdr:nvSpPr>
        <xdr:cNvPr id="5" name="Text 4"/>
        <xdr:cNvSpPr/>
      </xdr:nvSpPr>
      <xdr:spPr>
        <a:xfrm>
          <a:off x="2961720" y="4108680"/>
          <a:ext cx="422640" cy="20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HWSH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225720</xdr:colOff>
      <xdr:row>28</xdr:row>
      <xdr:rowOff>21600</xdr:rowOff>
    </xdr:from>
    <xdr:to>
      <xdr:col>4</xdr:col>
      <xdr:colOff>648360</xdr:colOff>
      <xdr:row>29</xdr:row>
      <xdr:rowOff>63000</xdr:rowOff>
    </xdr:to>
    <xdr:sp>
      <xdr:nvSpPr>
        <xdr:cNvPr id="6" name="Text 5"/>
        <xdr:cNvSpPr/>
      </xdr:nvSpPr>
      <xdr:spPr>
        <a:xfrm>
          <a:off x="3476880" y="4573440"/>
          <a:ext cx="422640" cy="20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HSWH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433440</xdr:colOff>
      <xdr:row>27</xdr:row>
      <xdr:rowOff>66960</xdr:rowOff>
    </xdr:from>
    <xdr:to>
      <xdr:col>6</xdr:col>
      <xdr:colOff>42840</xdr:colOff>
      <xdr:row>29</xdr:row>
      <xdr:rowOff>108720</xdr:rowOff>
    </xdr:to>
    <xdr:sp>
      <xdr:nvSpPr>
        <xdr:cNvPr id="7" name="Text 6"/>
        <xdr:cNvSpPr/>
      </xdr:nvSpPr>
      <xdr:spPr>
        <a:xfrm>
          <a:off x="4497480" y="4456080"/>
          <a:ext cx="422280" cy="36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HOWH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100800</xdr:colOff>
      <xdr:row>28</xdr:row>
      <xdr:rowOff>21600</xdr:rowOff>
    </xdr:from>
    <xdr:to>
      <xdr:col>6</xdr:col>
      <xdr:colOff>479880</xdr:colOff>
      <xdr:row>30</xdr:row>
      <xdr:rowOff>63360</xdr:rowOff>
    </xdr:to>
    <xdr:sp>
      <xdr:nvSpPr>
        <xdr:cNvPr id="8" name="Text 7"/>
        <xdr:cNvSpPr/>
      </xdr:nvSpPr>
      <xdr:spPr>
        <a:xfrm>
          <a:off x="4977720" y="4573440"/>
          <a:ext cx="379080" cy="36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HSOH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6</xdr:col>
      <xdr:colOff>649080</xdr:colOff>
      <xdr:row>28</xdr:row>
      <xdr:rowOff>21600</xdr:rowOff>
    </xdr:from>
    <xdr:to>
      <xdr:col>7</xdr:col>
      <xdr:colOff>215640</xdr:colOff>
      <xdr:row>30</xdr:row>
      <xdr:rowOff>63360</xdr:rowOff>
    </xdr:to>
    <xdr:sp>
      <xdr:nvSpPr>
        <xdr:cNvPr id="9" name="Text 8"/>
        <xdr:cNvSpPr/>
      </xdr:nvSpPr>
      <xdr:spPr>
        <a:xfrm>
          <a:off x="5526000" y="4573440"/>
          <a:ext cx="379080" cy="36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HOSH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236520</xdr:colOff>
      <xdr:row>28</xdr:row>
      <xdr:rowOff>21600</xdr:rowOff>
    </xdr:from>
    <xdr:to>
      <xdr:col>7</xdr:col>
      <xdr:colOff>704160</xdr:colOff>
      <xdr:row>29</xdr:row>
      <xdr:rowOff>63000</xdr:rowOff>
    </xdr:to>
    <xdr:sp>
      <xdr:nvSpPr>
        <xdr:cNvPr id="10" name="Text 9"/>
        <xdr:cNvSpPr/>
      </xdr:nvSpPr>
      <xdr:spPr>
        <a:xfrm>
          <a:off x="5925960" y="4573440"/>
          <a:ext cx="467640" cy="20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HWWH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712440</xdr:colOff>
      <xdr:row>25</xdr:row>
      <xdr:rowOff>44640</xdr:rowOff>
    </xdr:from>
    <xdr:to>
      <xdr:col>5</xdr:col>
      <xdr:colOff>321840</xdr:colOff>
      <xdr:row>27</xdr:row>
      <xdr:rowOff>86400</xdr:rowOff>
    </xdr:to>
    <xdr:sp>
      <xdr:nvSpPr>
        <xdr:cNvPr id="11" name="Text 10"/>
        <xdr:cNvSpPr/>
      </xdr:nvSpPr>
      <xdr:spPr>
        <a:xfrm>
          <a:off x="3963600" y="4108680"/>
          <a:ext cx="422280" cy="36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HWOH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803160</xdr:colOff>
      <xdr:row>28</xdr:row>
      <xdr:rowOff>101160</xdr:rowOff>
    </xdr:from>
    <xdr:to>
      <xdr:col>8</xdr:col>
      <xdr:colOff>369720</xdr:colOff>
      <xdr:row>29</xdr:row>
      <xdr:rowOff>142560</xdr:rowOff>
    </xdr:to>
    <xdr:sp>
      <xdr:nvSpPr>
        <xdr:cNvPr id="12" name="Text 11"/>
        <xdr:cNvSpPr/>
      </xdr:nvSpPr>
      <xdr:spPr>
        <a:xfrm>
          <a:off x="6492600" y="4653000"/>
          <a:ext cx="379440" cy="203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HSSH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491040</xdr:colOff>
      <xdr:row>27</xdr:row>
      <xdr:rowOff>66960</xdr:rowOff>
    </xdr:from>
    <xdr:to>
      <xdr:col>9</xdr:col>
      <xdr:colOff>57600</xdr:colOff>
      <xdr:row>29</xdr:row>
      <xdr:rowOff>108720</xdr:rowOff>
    </xdr:to>
    <xdr:sp>
      <xdr:nvSpPr>
        <xdr:cNvPr id="13" name="Text 12"/>
        <xdr:cNvSpPr/>
      </xdr:nvSpPr>
      <xdr:spPr>
        <a:xfrm>
          <a:off x="6993360" y="4456080"/>
          <a:ext cx="379440" cy="3668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spAutoFit/>
        </a:bodyPr>
        <a:p>
          <a:pPr algn="ctr"/>
          <a:r>
            <a:rPr lang="en-AU" sz="1030" b="0" u="none" strike="noStrike">
              <a:effectLst/>
              <a:uFillTx/>
              <a:latin typeface="Geneva"/>
            </a:rPr>
            <a:t>HOOH</a:t>
          </a:r>
          <a:endParaRPr lang="en-AU" sz="103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4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360360</xdr:colOff>
      <xdr:row>1</xdr:row>
      <xdr:rowOff>16920</xdr:rowOff>
    </xdr:from>
    <xdr:to>
      <xdr:col>10</xdr:col>
      <xdr:colOff>477000</xdr:colOff>
      <xdr:row>33</xdr:row>
      <xdr:rowOff>36360</xdr:rowOff>
    </xdr:to>
    <xdr:graphicFrame>
      <xdr:nvGraphicFramePr>
        <xdr:cNvPr id="15" name=" 0"/>
        <xdr:cNvGraphicFramePr/>
      </xdr:nvGraphicFramePr>
      <xdr:xfrm>
        <a:off x="360360" y="179640"/>
        <a:ext cx="8244720" cy="5221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0.66796875" defaultRowHeight="12.8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3" activeCellId="0" sqref="K13"/>
    </sheetView>
  </sheetViews>
  <sheetFormatPr defaultColWidth="11.16015625" defaultRowHeight="13" customHeight="false" zeroHeight="false" outlineLevelRow="0" outlineLevelCol="0"/>
  <cols>
    <col collapsed="false" customWidth="false" hidden="true" outlineLevel="0" max="16" min="16" style="0" width="11.16"/>
  </cols>
  <sheetData>
    <row r="1" customFormat="false" ht="14" hidden="false" customHeight="false" outlineLevel="0" collapsed="false">
      <c r="A1" s="1"/>
    </row>
    <row r="2" customFormat="false" ht="13" hidden="false" customHeight="false" outlineLevel="0" collapsed="false">
      <c r="A2" s="2"/>
      <c r="B2" s="3"/>
      <c r="C2" s="4"/>
      <c r="D2" s="4"/>
      <c r="E2" s="5"/>
      <c r="F2" s="5" t="s">
        <v>0</v>
      </c>
      <c r="G2" s="5"/>
      <c r="H2" s="4"/>
      <c r="I2" s="4"/>
      <c r="J2" s="4"/>
      <c r="K2" s="4"/>
      <c r="L2" s="6"/>
      <c r="M2" s="7"/>
      <c r="N2" s="7"/>
      <c r="O2" s="8" t="s">
        <v>1</v>
      </c>
      <c r="P2" s="8" t="s">
        <v>2</v>
      </c>
      <c r="Q2" s="7"/>
      <c r="R2" s="8"/>
      <c r="S2" s="7"/>
      <c r="T2" s="7"/>
      <c r="U2" s="9"/>
    </row>
    <row r="3" customFormat="false" ht="13" hidden="false" customHeight="false" outlineLevel="0" collapsed="false">
      <c r="A3" s="10"/>
      <c r="B3" s="11"/>
      <c r="C3" s="12"/>
      <c r="D3" s="12"/>
      <c r="E3" s="12"/>
      <c r="F3" s="12"/>
      <c r="G3" s="12"/>
      <c r="H3" s="12"/>
      <c r="I3" s="12"/>
      <c r="J3" s="12"/>
      <c r="K3" s="12"/>
      <c r="L3" s="13"/>
      <c r="M3" s="14"/>
      <c r="N3" s="14"/>
      <c r="O3" s="14"/>
      <c r="P3" s="14"/>
      <c r="Q3" s="14"/>
      <c r="R3" s="14"/>
      <c r="S3" s="14"/>
      <c r="T3" s="14"/>
      <c r="U3" s="15"/>
    </row>
    <row r="4" customFormat="false" ht="13" hidden="false" customHeight="false" outlineLevel="0" collapsed="false">
      <c r="A4" s="16" t="s">
        <v>3</v>
      </c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8" t="s">
        <v>13</v>
      </c>
      <c r="L4" s="19" t="s">
        <v>4</v>
      </c>
      <c r="M4" s="20" t="s">
        <v>5</v>
      </c>
      <c r="N4" s="20" t="s">
        <v>6</v>
      </c>
      <c r="O4" s="20" t="s">
        <v>7</v>
      </c>
      <c r="P4" s="20" t="s">
        <v>8</v>
      </c>
      <c r="Q4" s="20" t="s">
        <v>9</v>
      </c>
      <c r="R4" s="20" t="s">
        <v>10</v>
      </c>
      <c r="S4" s="20" t="s">
        <v>11</v>
      </c>
      <c r="T4" s="20" t="s">
        <v>12</v>
      </c>
      <c r="U4" s="21" t="s">
        <v>13</v>
      </c>
    </row>
    <row r="5" customFormat="false" ht="14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4"/>
      <c r="L5" s="25"/>
      <c r="M5" s="26"/>
      <c r="N5" s="26"/>
      <c r="O5" s="26"/>
      <c r="P5" s="26"/>
      <c r="Q5" s="26"/>
      <c r="R5" s="26"/>
      <c r="S5" s="26"/>
      <c r="T5" s="26"/>
      <c r="U5" s="27"/>
    </row>
    <row r="6" customFormat="false" ht="13" hidden="false" customHeight="false" outlineLevel="0" collapsed="false">
      <c r="A6" s="10" t="s">
        <v>14</v>
      </c>
      <c r="B6" s="28" t="n">
        <v>4160</v>
      </c>
      <c r="C6" s="29" t="n">
        <v>25.52</v>
      </c>
      <c r="D6" s="29" t="n">
        <v>24.13</v>
      </c>
      <c r="E6" s="29" t="n">
        <v>0</v>
      </c>
      <c r="F6" s="29" t="n">
        <v>0</v>
      </c>
      <c r="G6" s="29" t="n">
        <v>845.7</v>
      </c>
      <c r="H6" s="29" t="n">
        <v>544.6</v>
      </c>
      <c r="I6" s="29" t="n">
        <v>0</v>
      </c>
      <c r="J6" s="29" t="n">
        <v>0</v>
      </c>
      <c r="K6" s="30" t="n">
        <f aca="false">SUM(C6:F6)</f>
        <v>49.65</v>
      </c>
      <c r="L6" s="31" t="n">
        <v>0</v>
      </c>
      <c r="M6" s="32" t="n">
        <v>0</v>
      </c>
      <c r="N6" s="32" t="n">
        <v>0</v>
      </c>
      <c r="O6" s="32" t="n">
        <v>0</v>
      </c>
      <c r="P6" s="32" t="n">
        <v>0</v>
      </c>
      <c r="Q6" s="32" t="n">
        <v>0</v>
      </c>
      <c r="R6" s="32" t="n">
        <v>0</v>
      </c>
      <c r="S6" s="32" t="n">
        <v>0</v>
      </c>
      <c r="T6" s="32" t="n">
        <v>0</v>
      </c>
      <c r="U6" s="33" t="n">
        <f aca="false">SUM(M6:O6)</f>
        <v>0</v>
      </c>
    </row>
    <row r="7" customFormat="false" ht="13" hidden="false" customHeight="false" outlineLevel="0" collapsed="false">
      <c r="A7" s="10" t="s">
        <v>15</v>
      </c>
      <c r="B7" s="34" t="n">
        <v>522</v>
      </c>
      <c r="C7" s="35" t="n">
        <v>11.99</v>
      </c>
      <c r="D7" s="35" t="n">
        <v>0</v>
      </c>
      <c r="E7" s="35" t="n">
        <v>11.71</v>
      </c>
      <c r="F7" s="35" t="n">
        <v>0</v>
      </c>
      <c r="G7" s="35" t="n">
        <v>1360</v>
      </c>
      <c r="H7" s="35" t="n">
        <v>0</v>
      </c>
      <c r="I7" s="35" t="n">
        <v>55.52</v>
      </c>
      <c r="J7" s="35" t="n">
        <v>0</v>
      </c>
      <c r="K7" s="36" t="n">
        <f aca="false">SUM(C7:F7)</f>
        <v>23.7</v>
      </c>
      <c r="L7" s="31" t="n">
        <v>322</v>
      </c>
      <c r="M7" s="32" t="n">
        <v>13.6</v>
      </c>
      <c r="N7" s="32" t="n">
        <v>0</v>
      </c>
      <c r="O7" s="32" t="n">
        <v>13.31</v>
      </c>
      <c r="P7" s="32" t="n">
        <v>0</v>
      </c>
      <c r="Q7" s="32" t="n">
        <v>1350</v>
      </c>
      <c r="R7" s="32" t="n">
        <v>0</v>
      </c>
      <c r="S7" s="32" t="n">
        <v>62.93</v>
      </c>
      <c r="T7" s="32" t="n">
        <v>0</v>
      </c>
      <c r="U7" s="33" t="n">
        <f aca="false">SUM(M7:O7)</f>
        <v>26.91</v>
      </c>
    </row>
    <row r="8" customFormat="false" ht="13" hidden="false" customHeight="false" outlineLevel="0" collapsed="false">
      <c r="A8" s="10" t="s">
        <v>16</v>
      </c>
      <c r="B8" s="34" t="n">
        <v>1046</v>
      </c>
      <c r="C8" s="35" t="n">
        <v>19.81</v>
      </c>
      <c r="D8" s="35" t="n">
        <v>0</v>
      </c>
      <c r="E8" s="35" t="n">
        <v>0</v>
      </c>
      <c r="F8" s="35" t="n">
        <v>19.41</v>
      </c>
      <c r="G8" s="35" t="n">
        <v>1192</v>
      </c>
      <c r="H8" s="35" t="n">
        <v>0</v>
      </c>
      <c r="I8" s="35" t="n">
        <v>0</v>
      </c>
      <c r="J8" s="35" t="n">
        <v>208.5</v>
      </c>
      <c r="K8" s="36" t="n">
        <f aca="false">SUM(C8:F8)</f>
        <v>39.22</v>
      </c>
      <c r="L8" s="31" t="n">
        <v>704</v>
      </c>
      <c r="M8" s="32" t="n">
        <v>21.31</v>
      </c>
      <c r="N8" s="32" t="n">
        <v>0</v>
      </c>
      <c r="O8" s="32" t="n">
        <v>0</v>
      </c>
      <c r="P8" s="32" t="n">
        <v>20.58</v>
      </c>
      <c r="Q8" s="32" t="n">
        <v>1192</v>
      </c>
      <c r="R8" s="32" t="n">
        <v>0</v>
      </c>
      <c r="S8" s="32" t="n">
        <v>0</v>
      </c>
      <c r="T8" s="32" t="n">
        <v>206.6</v>
      </c>
      <c r="U8" s="33" t="n">
        <f aca="false">SUM(M8:O8)</f>
        <v>21.31</v>
      </c>
    </row>
    <row r="9" customFormat="false" ht="13" hidden="false" customHeight="false" outlineLevel="0" collapsed="false">
      <c r="A9" s="10" t="s">
        <v>17</v>
      </c>
      <c r="B9" s="34" t="n">
        <v>336</v>
      </c>
      <c r="C9" s="35" t="n">
        <v>14.37</v>
      </c>
      <c r="D9" s="35" t="n">
        <v>23.17</v>
      </c>
      <c r="E9" s="35" t="n">
        <v>15.6</v>
      </c>
      <c r="F9" s="35" t="n">
        <v>0</v>
      </c>
      <c r="G9" s="35" t="n">
        <v>850.2</v>
      </c>
      <c r="H9" s="35" t="n">
        <v>500.2</v>
      </c>
      <c r="I9" s="35" t="n">
        <v>36.46</v>
      </c>
      <c r="J9" s="35" t="n">
        <v>0</v>
      </c>
      <c r="K9" s="36" t="n">
        <f aca="false">SUM(C9:F9)</f>
        <v>53.14</v>
      </c>
      <c r="L9" s="31" t="n">
        <v>0</v>
      </c>
      <c r="M9" s="32" t="n">
        <v>0</v>
      </c>
      <c r="N9" s="32" t="n">
        <v>0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3" t="n">
        <f aca="false">SUM(M9:O9)</f>
        <v>0</v>
      </c>
    </row>
    <row r="10" customFormat="false" ht="13" hidden="false" customHeight="false" outlineLevel="0" collapsed="false">
      <c r="A10" s="10" t="s">
        <v>18</v>
      </c>
      <c r="B10" s="34" t="n">
        <v>77</v>
      </c>
      <c r="C10" s="35" t="n">
        <v>26.67</v>
      </c>
      <c r="D10" s="35" t="n">
        <v>18.28</v>
      </c>
      <c r="E10" s="35" t="n">
        <v>9.38</v>
      </c>
      <c r="F10" s="35" t="n">
        <v>0</v>
      </c>
      <c r="G10" s="35" t="n">
        <v>858.6</v>
      </c>
      <c r="H10" s="35" t="n">
        <v>506.6</v>
      </c>
      <c r="I10" s="35" t="n">
        <v>20.36</v>
      </c>
      <c r="J10" s="35" t="n">
        <v>0</v>
      </c>
      <c r="K10" s="36" t="n">
        <f aca="false">SUM(C10:F10)</f>
        <v>54.33</v>
      </c>
      <c r="L10" s="31" t="n">
        <v>0</v>
      </c>
      <c r="M10" s="32" t="n">
        <v>0</v>
      </c>
      <c r="N10" s="32" t="n">
        <v>0</v>
      </c>
      <c r="O10" s="32" t="n">
        <v>0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3" t="n">
        <f aca="false">SUM(M10:O10)</f>
        <v>0</v>
      </c>
    </row>
    <row r="11" customFormat="false" ht="13" hidden="false" customHeight="false" outlineLevel="0" collapsed="false">
      <c r="A11" s="10" t="s">
        <v>19</v>
      </c>
      <c r="B11" s="34" t="n">
        <v>587</v>
      </c>
      <c r="C11" s="35" t="n">
        <v>18.49</v>
      </c>
      <c r="D11" s="35" t="n">
        <v>23.31</v>
      </c>
      <c r="E11" s="35" t="n">
        <v>0</v>
      </c>
      <c r="F11" s="35" t="n">
        <v>19.54</v>
      </c>
      <c r="G11" s="35" t="n">
        <v>787.7</v>
      </c>
      <c r="H11" s="35" t="n">
        <v>499.6</v>
      </c>
      <c r="I11" s="35" t="n">
        <v>0</v>
      </c>
      <c r="J11" s="35" t="n">
        <v>91.38</v>
      </c>
      <c r="K11" s="36" t="n">
        <f aca="false">SUM(C11:F11)</f>
        <v>61.34</v>
      </c>
      <c r="L11" s="31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3" t="n">
        <f aca="false">SUM(M11:O11)</f>
        <v>0</v>
      </c>
    </row>
    <row r="12" customFormat="false" ht="13" hidden="false" customHeight="false" outlineLevel="0" collapsed="false">
      <c r="A12" s="10" t="s">
        <v>20</v>
      </c>
      <c r="B12" s="34" t="n">
        <v>285</v>
      </c>
      <c r="C12" s="35" t="n">
        <v>24.95</v>
      </c>
      <c r="D12" s="35" t="n">
        <v>21.69</v>
      </c>
      <c r="E12" s="35" t="n">
        <v>0</v>
      </c>
      <c r="F12" s="35" t="n">
        <v>14.01</v>
      </c>
      <c r="G12" s="35" t="n">
        <v>821.7</v>
      </c>
      <c r="H12" s="35" t="n">
        <v>490.1</v>
      </c>
      <c r="I12" s="35" t="n">
        <v>0</v>
      </c>
      <c r="J12" s="35" t="n">
        <v>67.46</v>
      </c>
      <c r="K12" s="36" t="n">
        <f aca="false">SUM(C12:F12)</f>
        <v>60.65</v>
      </c>
      <c r="L12" s="31" t="n">
        <v>0</v>
      </c>
      <c r="M12" s="32" t="n">
        <v>0</v>
      </c>
      <c r="N12" s="32" t="n">
        <v>0</v>
      </c>
      <c r="O12" s="32" t="n">
        <v>0</v>
      </c>
      <c r="P12" s="32" t="n">
        <v>0</v>
      </c>
      <c r="Q12" s="32" t="n">
        <v>0</v>
      </c>
      <c r="R12" s="32" t="n">
        <v>0</v>
      </c>
      <c r="S12" s="32" t="n">
        <v>0</v>
      </c>
      <c r="T12" s="32" t="n">
        <v>0</v>
      </c>
      <c r="U12" s="33" t="n">
        <f aca="false">SUM(M12:O12)</f>
        <v>0</v>
      </c>
    </row>
    <row r="13" customFormat="false" ht="13" hidden="false" customHeight="false" outlineLevel="0" collapsed="false">
      <c r="A13" s="10" t="s">
        <v>21</v>
      </c>
      <c r="B13" s="34" t="n">
        <v>99</v>
      </c>
      <c r="C13" s="35" t="n">
        <v>18.14</v>
      </c>
      <c r="D13" s="35" t="n">
        <v>0</v>
      </c>
      <c r="E13" s="35" t="n">
        <v>12.95</v>
      </c>
      <c r="F13" s="35" t="n">
        <v>15.35</v>
      </c>
      <c r="G13" s="35" t="n">
        <v>1199</v>
      </c>
      <c r="H13" s="35" t="n">
        <v>0</v>
      </c>
      <c r="I13" s="35" t="n">
        <v>55.05</v>
      </c>
      <c r="J13" s="35" t="n">
        <v>138.83</v>
      </c>
      <c r="K13" s="36" t="n">
        <f aca="false">SUM(C13:F13)</f>
        <v>46.44</v>
      </c>
      <c r="L13" s="31" t="n">
        <v>47</v>
      </c>
      <c r="M13" s="32" t="n">
        <v>15.89</v>
      </c>
      <c r="N13" s="32" t="n">
        <v>0</v>
      </c>
      <c r="O13" s="32" t="n">
        <v>11.93</v>
      </c>
      <c r="P13" s="32" t="n">
        <v>12.89</v>
      </c>
      <c r="Q13" s="32" t="n">
        <v>1247</v>
      </c>
      <c r="R13" s="32" t="n">
        <v>0</v>
      </c>
      <c r="S13" s="32" t="n">
        <v>39.63</v>
      </c>
      <c r="T13" s="32" t="n">
        <v>112.4</v>
      </c>
      <c r="U13" s="33" t="n">
        <f aca="false">SUM(M13:O13)</f>
        <v>27.82</v>
      </c>
    </row>
    <row r="14" customFormat="false" ht="13" hidden="false" customHeight="false" outlineLevel="0" collapsed="false">
      <c r="A14" s="10" t="s">
        <v>22</v>
      </c>
      <c r="B14" s="34" t="n">
        <v>161</v>
      </c>
      <c r="C14" s="35" t="n">
        <v>13.26</v>
      </c>
      <c r="D14" s="35" t="n">
        <v>0</v>
      </c>
      <c r="E14" s="35" t="n">
        <v>13.07</v>
      </c>
      <c r="F14" s="35" t="n">
        <v>15.4</v>
      </c>
      <c r="G14" s="35" t="n">
        <v>1269</v>
      </c>
      <c r="H14" s="35" t="n">
        <v>0</v>
      </c>
      <c r="I14" s="35" t="n">
        <v>40.46</v>
      </c>
      <c r="J14" s="35" t="n">
        <v>88.34</v>
      </c>
      <c r="K14" s="36" t="n">
        <f aca="false">SUM(C14:F14)</f>
        <v>41.73</v>
      </c>
      <c r="L14" s="31" t="n">
        <v>128</v>
      </c>
      <c r="M14" s="32" t="n">
        <v>13.49</v>
      </c>
      <c r="N14" s="32" t="n">
        <v>0</v>
      </c>
      <c r="O14" s="32" t="n">
        <v>11.72</v>
      </c>
      <c r="P14" s="32" t="n">
        <v>16.1</v>
      </c>
      <c r="Q14" s="32" t="n">
        <v>1247</v>
      </c>
      <c r="R14" s="32" t="n">
        <v>0</v>
      </c>
      <c r="S14" s="32" t="n">
        <v>50.76</v>
      </c>
      <c r="T14" s="32" t="n">
        <v>100.4</v>
      </c>
      <c r="U14" s="33" t="n">
        <f aca="false">SUM(M14:O14)</f>
        <v>25.21</v>
      </c>
    </row>
    <row r="15" customFormat="false" ht="13" hidden="false" customHeight="false" outlineLevel="0" collapsed="false">
      <c r="A15" s="10" t="s">
        <v>23</v>
      </c>
      <c r="B15" s="34" t="n">
        <v>161</v>
      </c>
      <c r="C15" s="35" t="n">
        <v>26.91</v>
      </c>
      <c r="D15" s="35" t="n">
        <v>51.69</v>
      </c>
      <c r="E15" s="35" t="n">
        <v>0</v>
      </c>
      <c r="F15" s="35" t="n">
        <v>0</v>
      </c>
      <c r="G15" s="35" t="n">
        <v>792.7</v>
      </c>
      <c r="H15" s="35" t="n">
        <v>568.6</v>
      </c>
      <c r="I15" s="35" t="n">
        <v>0</v>
      </c>
      <c r="J15" s="35" t="n">
        <v>0</v>
      </c>
      <c r="K15" s="36" t="n">
        <f aca="false">SUM(C15:F15)</f>
        <v>78.6</v>
      </c>
      <c r="L15" s="31" t="n">
        <v>0</v>
      </c>
      <c r="M15" s="32" t="n">
        <v>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0</v>
      </c>
      <c r="S15" s="32" t="n">
        <v>0</v>
      </c>
      <c r="T15" s="32" t="n">
        <v>0</v>
      </c>
      <c r="U15" s="33" t="n">
        <f aca="false">SUM(M15:O15)</f>
        <v>0</v>
      </c>
    </row>
    <row r="16" customFormat="false" ht="13" hidden="false" customHeight="false" outlineLevel="0" collapsed="false">
      <c r="A16" s="10" t="s">
        <v>24</v>
      </c>
      <c r="B16" s="34" t="n">
        <v>83</v>
      </c>
      <c r="C16" s="35" t="n">
        <v>13.26</v>
      </c>
      <c r="D16" s="35" t="n">
        <v>0</v>
      </c>
      <c r="E16" s="35" t="n">
        <v>24.24</v>
      </c>
      <c r="F16" s="35" t="n">
        <v>0</v>
      </c>
      <c r="G16" s="35" t="n">
        <v>1321</v>
      </c>
      <c r="H16" s="35" t="n">
        <v>0</v>
      </c>
      <c r="I16" s="35" t="n">
        <v>80.61</v>
      </c>
      <c r="J16" s="35" t="n">
        <v>0</v>
      </c>
      <c r="K16" s="36" t="n">
        <f aca="false">SUM(C16:F16)</f>
        <v>37.5</v>
      </c>
      <c r="L16" s="31" t="n">
        <v>69</v>
      </c>
      <c r="M16" s="32" t="n">
        <v>14.86</v>
      </c>
      <c r="N16" s="32" t="n">
        <v>0</v>
      </c>
      <c r="O16" s="32" t="n">
        <v>25.92</v>
      </c>
      <c r="P16" s="32" t="n">
        <v>0</v>
      </c>
      <c r="Q16" s="32" t="n">
        <v>1299</v>
      </c>
      <c r="R16" s="32" t="n">
        <v>0</v>
      </c>
      <c r="S16" s="32" t="n">
        <v>99.47</v>
      </c>
      <c r="T16" s="32" t="n">
        <v>0</v>
      </c>
      <c r="U16" s="33" t="n">
        <f aca="false">SUM(M16:O16)</f>
        <v>40.78</v>
      </c>
    </row>
    <row r="17" customFormat="false" ht="13" hidden="false" customHeight="false" outlineLevel="0" collapsed="false">
      <c r="A17" s="10" t="s">
        <v>25</v>
      </c>
      <c r="B17" s="34" t="n">
        <v>239</v>
      </c>
      <c r="C17" s="35" t="n">
        <v>20.47</v>
      </c>
      <c r="D17" s="35" t="n">
        <v>0</v>
      </c>
      <c r="E17" s="35" t="n">
        <v>0</v>
      </c>
      <c r="F17" s="35" t="n">
        <v>35.31</v>
      </c>
      <c r="G17" s="35" t="n">
        <v>1138</v>
      </c>
      <c r="H17" s="35" t="n">
        <v>0</v>
      </c>
      <c r="I17" s="35" t="n">
        <v>0</v>
      </c>
      <c r="J17" s="35" t="n">
        <v>246.1</v>
      </c>
      <c r="K17" s="36" t="n">
        <f aca="false">SUM(C17:F17)</f>
        <v>55.78</v>
      </c>
      <c r="L17" s="31" t="n">
        <v>161</v>
      </c>
      <c r="M17" s="32" t="n">
        <v>19.31</v>
      </c>
      <c r="N17" s="32" t="n">
        <v>0</v>
      </c>
      <c r="O17" s="32" t="n">
        <v>0</v>
      </c>
      <c r="P17" s="32" t="n">
        <v>34</v>
      </c>
      <c r="Q17" s="32" t="n">
        <v>1145</v>
      </c>
      <c r="R17" s="32" t="n">
        <v>0</v>
      </c>
      <c r="S17" s="32" t="n">
        <v>0</v>
      </c>
      <c r="T17" s="32" t="n">
        <v>241.15</v>
      </c>
      <c r="U17" s="33" t="n">
        <f aca="false">SUM(M17:O17)</f>
        <v>19.31</v>
      </c>
    </row>
    <row r="18" customFormat="false" ht="13" hidden="false" customHeight="false" outlineLevel="0" collapsed="false">
      <c r="A18" s="10" t="s">
        <v>26</v>
      </c>
      <c r="B18" s="34" t="n">
        <v>182</v>
      </c>
      <c r="C18" s="35" t="n">
        <v>26</v>
      </c>
      <c r="D18" s="35" t="n">
        <v>72</v>
      </c>
      <c r="E18" s="35" t="n">
        <v>0</v>
      </c>
      <c r="F18" s="35" t="n">
        <v>0</v>
      </c>
      <c r="G18" s="35" t="n">
        <v>814</v>
      </c>
      <c r="H18" s="35" t="n">
        <v>526</v>
      </c>
      <c r="I18" s="35" t="n">
        <v>0</v>
      </c>
      <c r="J18" s="35" t="n">
        <v>0</v>
      </c>
      <c r="K18" s="36" t="n">
        <f aca="false">SUM(C18:F18)</f>
        <v>98</v>
      </c>
      <c r="L18" s="31" t="n">
        <v>0</v>
      </c>
      <c r="M18" s="32" t="n">
        <v>0</v>
      </c>
      <c r="N18" s="32" t="n">
        <v>0</v>
      </c>
      <c r="O18" s="32" t="n">
        <v>0</v>
      </c>
      <c r="P18" s="32"/>
      <c r="Q18" s="32" t="n">
        <v>0</v>
      </c>
      <c r="R18" s="32" t="n">
        <v>0</v>
      </c>
      <c r="S18" s="32" t="n">
        <v>0</v>
      </c>
      <c r="T18" s="32" t="n">
        <v>0</v>
      </c>
      <c r="U18" s="33" t="n">
        <f aca="false">SUM(M18:O18)</f>
        <v>0</v>
      </c>
    </row>
    <row r="19" customFormat="false" ht="13" hidden="false" customHeight="false" outlineLevel="0" collapsed="false">
      <c r="A19" s="10" t="s">
        <v>27</v>
      </c>
      <c r="B19" s="34" t="n">
        <v>18</v>
      </c>
      <c r="C19" s="35" t="n">
        <v>12</v>
      </c>
      <c r="D19" s="35" t="n">
        <v>43</v>
      </c>
      <c r="E19" s="35" t="n">
        <v>16</v>
      </c>
      <c r="F19" s="35" t="n">
        <v>0</v>
      </c>
      <c r="G19" s="35" t="n">
        <v>886</v>
      </c>
      <c r="H19" s="35" t="n">
        <v>455</v>
      </c>
      <c r="I19" s="35" t="n">
        <v>26</v>
      </c>
      <c r="J19" s="35" t="n">
        <v>0</v>
      </c>
      <c r="K19" s="36" t="n">
        <f aca="false">SUM(C19:F19)</f>
        <v>71</v>
      </c>
      <c r="L19" s="31" t="n">
        <v>0</v>
      </c>
      <c r="M19" s="32" t="n">
        <v>0</v>
      </c>
      <c r="N19" s="32" t="n">
        <v>0</v>
      </c>
      <c r="O19" s="32" t="n">
        <v>0</v>
      </c>
      <c r="P19" s="32"/>
      <c r="Q19" s="32" t="n">
        <v>0</v>
      </c>
      <c r="R19" s="32" t="n">
        <v>0</v>
      </c>
      <c r="S19" s="32" t="n">
        <v>0</v>
      </c>
      <c r="T19" s="32" t="n">
        <v>0</v>
      </c>
      <c r="U19" s="33" t="n">
        <f aca="false">SUM(M19:O19)</f>
        <v>0</v>
      </c>
    </row>
    <row r="20" customFormat="false" ht="13" hidden="false" customHeight="false" outlineLevel="0" collapsed="false">
      <c r="A20" s="10" t="s">
        <v>28</v>
      </c>
      <c r="B20" s="34" t="n">
        <v>26</v>
      </c>
      <c r="C20" s="35" t="n">
        <v>22</v>
      </c>
      <c r="D20" s="35" t="n">
        <v>56</v>
      </c>
      <c r="E20" s="35" t="n">
        <v>0</v>
      </c>
      <c r="F20" s="35" t="n">
        <v>24</v>
      </c>
      <c r="G20" s="35" t="n">
        <v>763</v>
      </c>
      <c r="H20" s="35" t="n">
        <v>485</v>
      </c>
      <c r="I20" s="35" t="n">
        <v>0</v>
      </c>
      <c r="J20" s="35" t="n">
        <v>87</v>
      </c>
      <c r="K20" s="36" t="n">
        <f aca="false">SUM(C20:F20)</f>
        <v>102</v>
      </c>
      <c r="L20" s="31" t="n">
        <v>0</v>
      </c>
      <c r="M20" s="32" t="n">
        <v>0</v>
      </c>
      <c r="N20" s="32" t="n">
        <v>0</v>
      </c>
      <c r="O20" s="32" t="n">
        <v>0</v>
      </c>
      <c r="P20" s="32"/>
      <c r="Q20" s="32" t="n">
        <v>0</v>
      </c>
      <c r="R20" s="32" t="n">
        <v>0</v>
      </c>
      <c r="S20" s="32" t="n">
        <v>0</v>
      </c>
      <c r="T20" s="32" t="n">
        <v>0</v>
      </c>
      <c r="U20" s="33" t="n">
        <f aca="false">SUM(M20:O20)</f>
        <v>0</v>
      </c>
    </row>
    <row r="21" customFormat="false" ht="13" hidden="false" customHeight="false" outlineLevel="0" collapsed="false">
      <c r="A21" s="10" t="s">
        <v>29</v>
      </c>
      <c r="B21" s="34" t="n">
        <v>129</v>
      </c>
      <c r="C21" s="35" t="n">
        <v>27</v>
      </c>
      <c r="D21" s="35" t="n">
        <v>32</v>
      </c>
      <c r="E21" s="35" t="n">
        <v>6</v>
      </c>
      <c r="F21" s="35" t="n">
        <v>0</v>
      </c>
      <c r="G21" s="35" t="n">
        <v>825</v>
      </c>
      <c r="H21" s="35" t="n">
        <v>526</v>
      </c>
      <c r="I21" s="35" t="n">
        <v>21</v>
      </c>
      <c r="J21" s="35" t="n">
        <v>0</v>
      </c>
      <c r="K21" s="36" t="n">
        <f aca="false">SUM(C21:F21)</f>
        <v>65</v>
      </c>
      <c r="L21" s="31" t="n">
        <v>0</v>
      </c>
      <c r="M21" s="32" t="n">
        <v>0</v>
      </c>
      <c r="N21" s="32" t="n">
        <v>0</v>
      </c>
      <c r="O21" s="32" t="n">
        <v>0</v>
      </c>
      <c r="P21" s="32"/>
      <c r="Q21" s="32" t="n">
        <v>0</v>
      </c>
      <c r="R21" s="32" t="n">
        <v>0</v>
      </c>
      <c r="S21" s="32" t="n">
        <v>0</v>
      </c>
      <c r="T21" s="32" t="n">
        <v>0</v>
      </c>
      <c r="U21" s="33" t="n">
        <f aca="false">SUM(M21:O21)</f>
        <v>0</v>
      </c>
    </row>
    <row r="22" customFormat="false" ht="13" hidden="false" customHeight="false" outlineLevel="0" collapsed="false">
      <c r="A22" s="10" t="s">
        <v>30</v>
      </c>
      <c r="B22" s="34" t="n">
        <v>49</v>
      </c>
      <c r="C22" s="35" t="n">
        <v>15</v>
      </c>
      <c r="D22" s="35" t="n">
        <v>24</v>
      </c>
      <c r="E22" s="35" t="n">
        <v>28</v>
      </c>
      <c r="F22" s="35" t="n">
        <v>0</v>
      </c>
      <c r="G22" s="35" t="n">
        <v>815</v>
      </c>
      <c r="H22" s="35" t="n">
        <v>491</v>
      </c>
      <c r="I22" s="35" t="n">
        <v>65</v>
      </c>
      <c r="J22" s="35" t="n">
        <v>0</v>
      </c>
      <c r="K22" s="36" t="n">
        <f aca="false">SUM(C22:F22)</f>
        <v>67</v>
      </c>
      <c r="L22" s="31" t="n">
        <v>0</v>
      </c>
      <c r="M22" s="32" t="n">
        <v>0</v>
      </c>
      <c r="N22" s="32" t="n">
        <v>0</v>
      </c>
      <c r="O22" s="32" t="n">
        <v>0</v>
      </c>
      <c r="P22" s="32"/>
      <c r="Q22" s="32" t="n">
        <v>0</v>
      </c>
      <c r="R22" s="32" t="n">
        <v>0</v>
      </c>
      <c r="S22" s="32" t="n">
        <v>0</v>
      </c>
      <c r="T22" s="32" t="n">
        <v>0</v>
      </c>
      <c r="U22" s="33" t="n">
        <f aca="false">SUM(M22:O22)</f>
        <v>0</v>
      </c>
    </row>
    <row r="23" customFormat="false" ht="13" hidden="false" customHeight="false" outlineLevel="0" collapsed="false">
      <c r="A23" s="10" t="s">
        <v>31</v>
      </c>
      <c r="B23" s="34" t="n">
        <v>37</v>
      </c>
      <c r="C23" s="35" t="n">
        <v>17</v>
      </c>
      <c r="D23" s="35" t="n">
        <v>24</v>
      </c>
      <c r="E23" s="35" t="n">
        <v>13</v>
      </c>
      <c r="F23" s="35" t="n">
        <v>10</v>
      </c>
      <c r="G23" s="35" t="n">
        <v>739</v>
      </c>
      <c r="H23" s="35" t="n">
        <v>531</v>
      </c>
      <c r="I23" s="35" t="n">
        <v>46</v>
      </c>
      <c r="J23" s="35" t="n">
        <v>56</v>
      </c>
      <c r="K23" s="36" t="n">
        <f aca="false">SUM(C23:F23)</f>
        <v>64</v>
      </c>
      <c r="L23" s="31" t="n">
        <v>0</v>
      </c>
      <c r="M23" s="32" t="n">
        <v>0</v>
      </c>
      <c r="N23" s="32" t="n">
        <v>0</v>
      </c>
      <c r="O23" s="32" t="n">
        <v>0</v>
      </c>
      <c r="P23" s="32"/>
      <c r="Q23" s="32" t="n">
        <v>0</v>
      </c>
      <c r="R23" s="32" t="n">
        <v>0</v>
      </c>
      <c r="S23" s="32" t="n">
        <v>0</v>
      </c>
      <c r="T23" s="32" t="n">
        <v>0</v>
      </c>
      <c r="U23" s="33" t="n">
        <f aca="false">SUM(M23:O23)</f>
        <v>0</v>
      </c>
    </row>
    <row r="24" customFormat="false" ht="13" hidden="false" customHeight="false" outlineLevel="0" collapsed="false">
      <c r="A24" s="10" t="s">
        <v>32</v>
      </c>
      <c r="B24" s="34" t="n">
        <v>453</v>
      </c>
      <c r="C24" s="35" t="n">
        <v>26</v>
      </c>
      <c r="D24" s="35" t="n">
        <v>34</v>
      </c>
      <c r="E24" s="35" t="n">
        <v>0</v>
      </c>
      <c r="F24" s="35" t="n">
        <v>8</v>
      </c>
      <c r="G24" s="35" t="n">
        <v>813</v>
      </c>
      <c r="H24" s="35" t="n">
        <v>516</v>
      </c>
      <c r="I24" s="35" t="n">
        <v>0</v>
      </c>
      <c r="J24" s="35" t="n">
        <v>40</v>
      </c>
      <c r="K24" s="36" t="n">
        <f aca="false">SUM(C24:F24)</f>
        <v>68</v>
      </c>
      <c r="L24" s="31" t="n">
        <v>0</v>
      </c>
      <c r="M24" s="32" t="n">
        <v>0</v>
      </c>
      <c r="N24" s="32" t="n">
        <v>0</v>
      </c>
      <c r="O24" s="32" t="n">
        <v>0</v>
      </c>
      <c r="P24" s="32"/>
      <c r="Q24" s="32" t="n">
        <v>0</v>
      </c>
      <c r="R24" s="32" t="n">
        <v>0</v>
      </c>
      <c r="S24" s="32" t="n">
        <v>0</v>
      </c>
      <c r="T24" s="32" t="n">
        <v>0</v>
      </c>
      <c r="U24" s="33" t="n">
        <f aca="false">SUM(M24:O24)</f>
        <v>0</v>
      </c>
    </row>
    <row r="25" customFormat="false" ht="13" hidden="false" customHeight="false" outlineLevel="0" collapsed="false">
      <c r="A25" s="10" t="s">
        <v>33</v>
      </c>
      <c r="B25" s="34" t="n">
        <v>84</v>
      </c>
      <c r="C25" s="35" t="n">
        <v>13</v>
      </c>
      <c r="D25" s="35" t="n">
        <v>23</v>
      </c>
      <c r="E25" s="35" t="n">
        <v>11</v>
      </c>
      <c r="F25" s="35" t="n">
        <v>16</v>
      </c>
      <c r="G25" s="35" t="n">
        <v>825</v>
      </c>
      <c r="H25" s="35" t="n">
        <v>464</v>
      </c>
      <c r="I25" s="35" t="n">
        <v>34</v>
      </c>
      <c r="J25" s="35" t="n">
        <v>50</v>
      </c>
      <c r="K25" s="36" t="n">
        <f aca="false">SUM(C25:F25)</f>
        <v>63</v>
      </c>
      <c r="L25" s="31" t="n">
        <v>0</v>
      </c>
      <c r="M25" s="32" t="n">
        <v>0</v>
      </c>
      <c r="N25" s="32" t="n">
        <v>0</v>
      </c>
      <c r="O25" s="32" t="n">
        <v>0</v>
      </c>
      <c r="P25" s="32"/>
      <c r="Q25" s="32" t="n">
        <v>0</v>
      </c>
      <c r="R25" s="32" t="n">
        <v>0</v>
      </c>
      <c r="S25" s="32" t="n">
        <v>0</v>
      </c>
      <c r="T25" s="32" t="n">
        <v>0</v>
      </c>
      <c r="U25" s="33" t="n">
        <f aca="false">SUM(M25:O25)</f>
        <v>0</v>
      </c>
    </row>
    <row r="26" customFormat="false" ht="13" hidden="false" customHeight="false" outlineLevel="0" collapsed="false">
      <c r="A26" s="10" t="s">
        <v>34</v>
      </c>
      <c r="B26" s="34" t="n">
        <v>108</v>
      </c>
      <c r="C26" s="35" t="n">
        <v>14</v>
      </c>
      <c r="D26" s="35" t="n">
        <v>24</v>
      </c>
      <c r="E26" s="35" t="n">
        <v>0</v>
      </c>
      <c r="F26" s="35" t="n">
        <v>31</v>
      </c>
      <c r="G26" s="35" t="n">
        <v>750</v>
      </c>
      <c r="H26" s="35" t="n">
        <v>473</v>
      </c>
      <c r="I26" s="35" t="n">
        <v>0</v>
      </c>
      <c r="J26" s="35" t="n">
        <v>145</v>
      </c>
      <c r="K26" s="36" t="n">
        <f aca="false">SUM(C26:F26)</f>
        <v>69</v>
      </c>
      <c r="L26" s="31" t="n">
        <v>0</v>
      </c>
      <c r="M26" s="32" t="n">
        <v>0</v>
      </c>
      <c r="N26" s="32" t="n">
        <v>0</v>
      </c>
      <c r="O26" s="32" t="n">
        <v>0</v>
      </c>
      <c r="P26" s="32"/>
      <c r="Q26" s="32" t="n">
        <v>0</v>
      </c>
      <c r="R26" s="32" t="n">
        <v>0</v>
      </c>
      <c r="S26" s="32" t="n">
        <v>0</v>
      </c>
      <c r="T26" s="32" t="n">
        <v>0</v>
      </c>
      <c r="U26" s="33" t="n">
        <f aca="false">SUM(M26:O26)</f>
        <v>0</v>
      </c>
    </row>
    <row r="27" customFormat="false" ht="13" hidden="false" customHeight="false" outlineLevel="0" collapsed="false">
      <c r="A27" s="10" t="s">
        <v>35</v>
      </c>
      <c r="B27" s="34" t="n">
        <v>5</v>
      </c>
      <c r="C27" s="35" t="n">
        <v>37</v>
      </c>
      <c r="D27" s="35" t="n">
        <v>85</v>
      </c>
      <c r="E27" s="35" t="n">
        <v>7</v>
      </c>
      <c r="F27" s="35" t="n">
        <v>0</v>
      </c>
      <c r="G27" s="35" t="n">
        <v>691</v>
      </c>
      <c r="H27" s="35" t="n">
        <v>611</v>
      </c>
      <c r="I27" s="35" t="n">
        <v>7</v>
      </c>
      <c r="J27" s="35" t="n">
        <v>0</v>
      </c>
      <c r="K27" s="36" t="n">
        <f aca="false">SUM(C27:F27)</f>
        <v>129</v>
      </c>
      <c r="L27" s="31" t="n">
        <v>0</v>
      </c>
      <c r="M27" s="32" t="n">
        <v>0</v>
      </c>
      <c r="N27" s="32" t="n">
        <v>0</v>
      </c>
      <c r="O27" s="32" t="n">
        <v>0</v>
      </c>
      <c r="P27" s="32"/>
      <c r="Q27" s="32" t="n">
        <v>0</v>
      </c>
      <c r="R27" s="32" t="n">
        <v>0</v>
      </c>
      <c r="S27" s="32" t="n">
        <v>0</v>
      </c>
      <c r="T27" s="32" t="n">
        <v>0</v>
      </c>
      <c r="U27" s="33" t="n">
        <f aca="false">SUM(M27:O27)</f>
        <v>0</v>
      </c>
    </row>
    <row r="28" customFormat="false" ht="13" hidden="false" customHeight="false" outlineLevel="0" collapsed="false">
      <c r="A28" s="10" t="s">
        <v>36</v>
      </c>
      <c r="B28" s="34" t="n">
        <v>9</v>
      </c>
      <c r="C28" s="35" t="n">
        <v>13</v>
      </c>
      <c r="D28" s="35" t="n">
        <v>20</v>
      </c>
      <c r="E28" s="35" t="n">
        <v>31</v>
      </c>
      <c r="F28" s="35" t="n">
        <v>0</v>
      </c>
      <c r="G28" s="35" t="n">
        <v>967</v>
      </c>
      <c r="H28" s="35" t="n">
        <v>354</v>
      </c>
      <c r="I28" s="35" t="n">
        <v>52</v>
      </c>
      <c r="J28" s="35" t="n">
        <v>0</v>
      </c>
      <c r="K28" s="36" t="n">
        <f aca="false">SUM(C28:F28)</f>
        <v>64</v>
      </c>
      <c r="L28" s="31" t="n">
        <v>0</v>
      </c>
      <c r="M28" s="32" t="n">
        <v>0</v>
      </c>
      <c r="N28" s="32" t="n">
        <v>0</v>
      </c>
      <c r="O28" s="32" t="n">
        <v>0</v>
      </c>
      <c r="P28" s="32"/>
      <c r="Q28" s="32" t="n">
        <v>0</v>
      </c>
      <c r="R28" s="32" t="n">
        <v>0</v>
      </c>
      <c r="S28" s="32" t="n">
        <v>0</v>
      </c>
      <c r="T28" s="32" t="n">
        <v>0</v>
      </c>
      <c r="U28" s="33" t="n">
        <f aca="false">SUM(M28:O28)</f>
        <v>0</v>
      </c>
    </row>
    <row r="29" customFormat="false" ht="13" hidden="false" customHeight="false" outlineLevel="0" collapsed="false">
      <c r="A29" s="10" t="s">
        <v>37</v>
      </c>
      <c r="B29" s="34" t="n">
        <v>21</v>
      </c>
      <c r="C29" s="35" t="n">
        <v>16</v>
      </c>
      <c r="D29" s="35" t="n">
        <v>16</v>
      </c>
      <c r="E29" s="35" t="n">
        <v>9</v>
      </c>
      <c r="F29" s="35" t="n">
        <v>24</v>
      </c>
      <c r="G29" s="35" t="n">
        <v>827</v>
      </c>
      <c r="H29" s="35" t="n">
        <v>448</v>
      </c>
      <c r="I29" s="35" t="n">
        <v>11</v>
      </c>
      <c r="J29" s="35" t="n">
        <v>85</v>
      </c>
      <c r="K29" s="36" t="n">
        <f aca="false">SUM(C29:F29)</f>
        <v>65</v>
      </c>
      <c r="L29" s="31" t="n">
        <v>0</v>
      </c>
      <c r="M29" s="32" t="n">
        <v>0</v>
      </c>
      <c r="N29" s="32" t="n">
        <v>0</v>
      </c>
      <c r="O29" s="32" t="n">
        <v>0</v>
      </c>
      <c r="P29" s="32"/>
      <c r="Q29" s="32" t="n">
        <v>0</v>
      </c>
      <c r="R29" s="32" t="n">
        <v>0</v>
      </c>
      <c r="S29" s="32" t="n">
        <v>0</v>
      </c>
      <c r="T29" s="32" t="n">
        <v>0</v>
      </c>
      <c r="U29" s="33" t="n">
        <f aca="false">SUM(M29:O29)</f>
        <v>0</v>
      </c>
    </row>
    <row r="30" customFormat="false" ht="13" hidden="false" customHeight="false" outlineLevel="0" collapsed="false">
      <c r="A30" s="10" t="s">
        <v>38</v>
      </c>
      <c r="B30" s="34" t="n">
        <v>5</v>
      </c>
      <c r="C30" s="35" t="n">
        <v>28</v>
      </c>
      <c r="D30" s="35" t="n">
        <v>25</v>
      </c>
      <c r="E30" s="35" t="n">
        <v>10</v>
      </c>
      <c r="F30" s="35" t="n">
        <v>0</v>
      </c>
      <c r="G30" s="35" t="n">
        <v>926</v>
      </c>
      <c r="H30" s="35" t="n">
        <v>424</v>
      </c>
      <c r="I30" s="35" t="n">
        <v>24</v>
      </c>
      <c r="J30" s="35" t="n">
        <v>0</v>
      </c>
      <c r="K30" s="36" t="n">
        <f aca="false">SUM(C30:F30)</f>
        <v>63</v>
      </c>
      <c r="L30" s="31" t="n">
        <v>0</v>
      </c>
      <c r="M30" s="32" t="n">
        <v>0</v>
      </c>
      <c r="N30" s="32" t="n">
        <v>0</v>
      </c>
      <c r="O30" s="32" t="n">
        <v>0</v>
      </c>
      <c r="P30" s="32"/>
      <c r="Q30" s="32" t="n">
        <v>0</v>
      </c>
      <c r="R30" s="32" t="n">
        <v>0</v>
      </c>
      <c r="S30" s="32" t="n">
        <v>0</v>
      </c>
      <c r="T30" s="32" t="n">
        <v>0</v>
      </c>
      <c r="U30" s="33" t="n">
        <f aca="false">SUM(M30:O30)</f>
        <v>0</v>
      </c>
    </row>
    <row r="31" customFormat="false" ht="13" hidden="false" customHeight="false" outlineLevel="0" collapsed="false">
      <c r="A31" s="10" t="s">
        <v>39</v>
      </c>
      <c r="B31" s="34" t="n">
        <v>32</v>
      </c>
      <c r="C31" s="35" t="n">
        <v>11</v>
      </c>
      <c r="D31" s="35" t="n">
        <v>0</v>
      </c>
      <c r="E31" s="35" t="n">
        <v>33</v>
      </c>
      <c r="F31" s="35" t="n">
        <v>0</v>
      </c>
      <c r="G31" s="35" t="n">
        <v>1291</v>
      </c>
      <c r="H31" s="35" t="n">
        <v>0</v>
      </c>
      <c r="I31" s="35" t="n">
        <v>103</v>
      </c>
      <c r="J31" s="35" t="n">
        <v>0</v>
      </c>
      <c r="K31" s="36" t="n">
        <f aca="false">SUM(C31:F31)</f>
        <v>44</v>
      </c>
      <c r="L31" s="31" t="n">
        <v>12</v>
      </c>
      <c r="M31" s="32" t="n">
        <v>22</v>
      </c>
      <c r="N31" s="32" t="n">
        <v>0</v>
      </c>
      <c r="O31" s="32" t="n">
        <v>46</v>
      </c>
      <c r="P31" s="32" t="n">
        <v>0</v>
      </c>
      <c r="Q31" s="32" t="n">
        <v>1237</v>
      </c>
      <c r="R31" s="32" t="n">
        <v>0</v>
      </c>
      <c r="S31" s="32" t="n">
        <v>133</v>
      </c>
      <c r="T31" s="32" t="n">
        <v>0</v>
      </c>
      <c r="U31" s="33" t="n">
        <f aca="false">SUM(M31:O31)</f>
        <v>68</v>
      </c>
    </row>
    <row r="32" customFormat="false" ht="13" hidden="false" customHeight="false" outlineLevel="0" collapsed="false">
      <c r="A32" s="10" t="s">
        <v>40</v>
      </c>
      <c r="B32" s="34" t="n">
        <v>10</v>
      </c>
      <c r="C32" s="35" t="n">
        <v>18</v>
      </c>
      <c r="D32" s="35" t="n">
        <v>0</v>
      </c>
      <c r="E32" s="35" t="n">
        <v>19</v>
      </c>
      <c r="F32" s="35" t="n">
        <v>12</v>
      </c>
      <c r="G32" s="35" t="n">
        <v>1200</v>
      </c>
      <c r="H32" s="35" t="n">
        <v>0</v>
      </c>
      <c r="I32" s="35" t="n">
        <v>79</v>
      </c>
      <c r="J32" s="35" t="n">
        <v>109</v>
      </c>
      <c r="K32" s="36" t="n">
        <f aca="false">SUM(C32:F32)</f>
        <v>49</v>
      </c>
      <c r="L32" s="31" t="n">
        <v>13</v>
      </c>
      <c r="M32" s="32" t="n">
        <v>15</v>
      </c>
      <c r="N32" s="32" t="n">
        <v>0</v>
      </c>
      <c r="O32" s="32" t="n">
        <v>33</v>
      </c>
      <c r="P32" s="32" t="n">
        <v>14</v>
      </c>
      <c r="Q32" s="32" t="n">
        <v>1217</v>
      </c>
      <c r="R32" s="32" t="n">
        <v>0</v>
      </c>
      <c r="S32" s="32" t="n">
        <v>110</v>
      </c>
      <c r="T32" s="32" t="n">
        <v>48</v>
      </c>
      <c r="U32" s="33" t="n">
        <f aca="false">SUM(M32:O32)</f>
        <v>48</v>
      </c>
    </row>
    <row r="33" customFormat="false" ht="13" hidden="false" customHeight="false" outlineLevel="0" collapsed="false">
      <c r="A33" s="10" t="s">
        <v>41</v>
      </c>
      <c r="B33" s="34" t="n">
        <v>7</v>
      </c>
      <c r="C33" s="35" t="n">
        <v>15</v>
      </c>
      <c r="D33" s="35" t="n">
        <v>9</v>
      </c>
      <c r="E33" s="35" t="n">
        <v>9</v>
      </c>
      <c r="F33" s="35" t="n">
        <v>7</v>
      </c>
      <c r="G33" s="35" t="n">
        <v>907</v>
      </c>
      <c r="H33" s="35" t="n">
        <v>459</v>
      </c>
      <c r="I33" s="35" t="n">
        <v>6</v>
      </c>
      <c r="J33" s="35" t="n">
        <v>25</v>
      </c>
      <c r="K33" s="36" t="n">
        <f aca="false">SUM(C33:F33)</f>
        <v>40</v>
      </c>
      <c r="L33" s="31" t="n">
        <v>0</v>
      </c>
      <c r="M33" s="32" t="n">
        <v>0</v>
      </c>
      <c r="N33" s="32" t="n">
        <v>0</v>
      </c>
      <c r="O33" s="32" t="n">
        <v>0</v>
      </c>
      <c r="P33" s="32"/>
      <c r="Q33" s="32" t="n">
        <v>0</v>
      </c>
      <c r="R33" s="32" t="n">
        <v>0</v>
      </c>
      <c r="S33" s="32" t="n">
        <v>0</v>
      </c>
      <c r="T33" s="32" t="n">
        <v>0</v>
      </c>
      <c r="U33" s="33" t="n">
        <f aca="false">SUM(M33:O33)</f>
        <v>0</v>
      </c>
    </row>
    <row r="34" customFormat="false" ht="13" hidden="false" customHeight="false" outlineLevel="0" collapsed="false">
      <c r="A34" s="10" t="s">
        <v>42</v>
      </c>
      <c r="B34" s="34" t="n">
        <v>17</v>
      </c>
      <c r="C34" s="35" t="n">
        <v>21</v>
      </c>
      <c r="D34" s="35" t="n">
        <v>0</v>
      </c>
      <c r="E34" s="35" t="n">
        <v>31</v>
      </c>
      <c r="F34" s="35" t="n">
        <v>10</v>
      </c>
      <c r="G34" s="35" t="n">
        <v>1229</v>
      </c>
      <c r="H34" s="35" t="n">
        <v>0</v>
      </c>
      <c r="I34" s="35" t="n">
        <v>84</v>
      </c>
      <c r="J34" s="35" t="n">
        <v>62</v>
      </c>
      <c r="K34" s="36" t="n">
        <f aca="false">SUM(C34:F34)</f>
        <v>62</v>
      </c>
      <c r="L34" s="31" t="n">
        <v>18</v>
      </c>
      <c r="M34" s="32" t="n">
        <v>13</v>
      </c>
      <c r="N34" s="32" t="n">
        <v>0</v>
      </c>
      <c r="O34" s="32" t="n">
        <v>23</v>
      </c>
      <c r="P34" s="32" t="n">
        <v>17</v>
      </c>
      <c r="Q34" s="32" t="n">
        <v>1227</v>
      </c>
      <c r="R34" s="32" t="n">
        <v>0</v>
      </c>
      <c r="S34" s="32" t="n">
        <v>67</v>
      </c>
      <c r="T34" s="32" t="n">
        <v>90</v>
      </c>
      <c r="U34" s="33" t="n">
        <f aca="false">SUM(M34:O34)</f>
        <v>36</v>
      </c>
    </row>
    <row r="35" customFormat="false" ht="13" hidden="false" customHeight="false" outlineLevel="0" collapsed="false">
      <c r="A35" s="10" t="s">
        <v>43</v>
      </c>
      <c r="B35" s="34" t="n">
        <v>20</v>
      </c>
      <c r="C35" s="35" t="n">
        <v>15</v>
      </c>
      <c r="D35" s="35" t="n">
        <v>0</v>
      </c>
      <c r="E35" s="35" t="n">
        <v>12</v>
      </c>
      <c r="F35" s="35" t="n">
        <v>23</v>
      </c>
      <c r="G35" s="35" t="n">
        <v>1219</v>
      </c>
      <c r="H35" s="35" t="n">
        <v>0</v>
      </c>
      <c r="I35" s="35" t="n">
        <v>45</v>
      </c>
      <c r="J35" s="35" t="n">
        <v>123</v>
      </c>
      <c r="K35" s="36" t="n">
        <f aca="false">SUM(C35:F35)</f>
        <v>50</v>
      </c>
      <c r="L35" s="31" t="n">
        <v>8</v>
      </c>
      <c r="M35" s="32" t="n">
        <v>17</v>
      </c>
      <c r="N35" s="32" t="n">
        <v>0</v>
      </c>
      <c r="O35" s="32" t="n">
        <v>14</v>
      </c>
      <c r="P35" s="32" t="n">
        <v>21</v>
      </c>
      <c r="Q35" s="32" t="n">
        <v>1205</v>
      </c>
      <c r="R35" s="32" t="n">
        <v>0</v>
      </c>
      <c r="S35" s="32" t="n">
        <v>56</v>
      </c>
      <c r="T35" s="32" t="n">
        <v>125</v>
      </c>
      <c r="U35" s="33" t="n">
        <f aca="false">SUM(M35:O35)</f>
        <v>31</v>
      </c>
    </row>
    <row r="36" customFormat="false" ht="13" hidden="false" customHeight="false" outlineLevel="0" collapsed="false">
      <c r="A36" s="10" t="s">
        <v>44</v>
      </c>
      <c r="B36" s="34" t="n">
        <v>15</v>
      </c>
      <c r="C36" s="35" t="n">
        <v>37</v>
      </c>
      <c r="D36" s="35" t="n">
        <v>61</v>
      </c>
      <c r="E36" s="35" t="n">
        <v>0</v>
      </c>
      <c r="F36" s="35" t="n">
        <v>14</v>
      </c>
      <c r="G36" s="35" t="n">
        <v>813</v>
      </c>
      <c r="H36" s="35" t="n">
        <v>450</v>
      </c>
      <c r="I36" s="35" t="n">
        <v>0</v>
      </c>
      <c r="J36" s="35" t="n">
        <v>62</v>
      </c>
      <c r="K36" s="36" t="n">
        <f aca="false">SUM(C36:F36)</f>
        <v>112</v>
      </c>
      <c r="L36" s="31" t="n">
        <v>0</v>
      </c>
      <c r="M36" s="32" t="n">
        <v>0</v>
      </c>
      <c r="N36" s="32" t="n">
        <v>0</v>
      </c>
      <c r="O36" s="32" t="n">
        <v>0</v>
      </c>
      <c r="P36" s="32"/>
      <c r="Q36" s="32" t="n">
        <v>0</v>
      </c>
      <c r="R36" s="32" t="n">
        <v>0</v>
      </c>
      <c r="S36" s="32" t="n">
        <v>0</v>
      </c>
      <c r="T36" s="32" t="n">
        <v>0</v>
      </c>
      <c r="U36" s="33" t="n">
        <f aca="false">SUM(M36:O36)</f>
        <v>0</v>
      </c>
    </row>
    <row r="37" customFormat="false" ht="13" hidden="false" customHeight="false" outlineLevel="0" collapsed="false">
      <c r="A37" s="10" t="s">
        <v>45</v>
      </c>
      <c r="B37" s="34" t="n">
        <v>25</v>
      </c>
      <c r="C37" s="35" t="n">
        <v>13</v>
      </c>
      <c r="D37" s="35" t="n">
        <v>15</v>
      </c>
      <c r="E37" s="35" t="n">
        <v>15</v>
      </c>
      <c r="F37" s="35" t="n">
        <v>12</v>
      </c>
      <c r="G37" s="35" t="n">
        <v>894</v>
      </c>
      <c r="H37" s="35" t="n">
        <v>432</v>
      </c>
      <c r="I37" s="35" t="n">
        <v>34</v>
      </c>
      <c r="J37" s="35" t="n">
        <v>21</v>
      </c>
      <c r="K37" s="36" t="n">
        <f aca="false">SUM(C37:F37)</f>
        <v>55</v>
      </c>
      <c r="L37" s="31" t="n">
        <v>0</v>
      </c>
      <c r="M37" s="32" t="n">
        <v>0</v>
      </c>
      <c r="N37" s="32" t="n">
        <v>0</v>
      </c>
      <c r="O37" s="32" t="n">
        <v>0</v>
      </c>
      <c r="P37" s="32"/>
      <c r="Q37" s="32" t="n">
        <v>0</v>
      </c>
      <c r="R37" s="32" t="n">
        <v>0</v>
      </c>
      <c r="S37" s="32" t="n">
        <v>0</v>
      </c>
      <c r="T37" s="32" t="n">
        <v>0</v>
      </c>
      <c r="U37" s="33" t="n">
        <f aca="false">SUM(M37:O37)</f>
        <v>0</v>
      </c>
    </row>
    <row r="38" customFormat="false" ht="13" hidden="false" customHeight="false" outlineLevel="0" collapsed="false">
      <c r="A38" s="10" t="s">
        <v>46</v>
      </c>
      <c r="B38" s="34" t="n">
        <v>191</v>
      </c>
      <c r="C38" s="35" t="n">
        <v>16</v>
      </c>
      <c r="D38" s="35" t="n">
        <v>17</v>
      </c>
      <c r="E38" s="35" t="n">
        <v>0</v>
      </c>
      <c r="F38" s="35" t="n">
        <v>31</v>
      </c>
      <c r="G38" s="35" t="n">
        <v>831</v>
      </c>
      <c r="H38" s="35" t="n">
        <v>489</v>
      </c>
      <c r="I38" s="35" t="n">
        <v>0</v>
      </c>
      <c r="J38" s="35" t="n">
        <v>53</v>
      </c>
      <c r="K38" s="36" t="n">
        <f aca="false">SUM(C38:F38)</f>
        <v>64</v>
      </c>
      <c r="L38" s="31" t="n">
        <v>0</v>
      </c>
      <c r="M38" s="32" t="n">
        <v>0</v>
      </c>
      <c r="N38" s="32" t="n">
        <v>0</v>
      </c>
      <c r="O38" s="32" t="n">
        <v>0</v>
      </c>
      <c r="P38" s="32"/>
      <c r="Q38" s="32" t="n">
        <v>0</v>
      </c>
      <c r="R38" s="32" t="n">
        <v>0</v>
      </c>
      <c r="S38" s="32" t="n">
        <v>0</v>
      </c>
      <c r="T38" s="32" t="n">
        <v>0</v>
      </c>
      <c r="U38" s="33" t="n">
        <f aca="false">SUM(M38:O38)</f>
        <v>0</v>
      </c>
    </row>
    <row r="39" customFormat="false" ht="13" hidden="false" customHeight="false" outlineLevel="0" collapsed="false">
      <c r="A39" s="10" t="s">
        <v>47</v>
      </c>
      <c r="B39" s="34" t="n">
        <v>10</v>
      </c>
      <c r="C39" s="35" t="n">
        <v>31</v>
      </c>
      <c r="D39" s="35" t="n">
        <v>24</v>
      </c>
      <c r="E39" s="35" t="n">
        <v>5</v>
      </c>
      <c r="F39" s="35" t="n">
        <v>12</v>
      </c>
      <c r="G39" s="35" t="n">
        <v>875</v>
      </c>
      <c r="H39" s="35" t="n">
        <v>369</v>
      </c>
      <c r="I39" s="35" t="n">
        <v>8</v>
      </c>
      <c r="J39" s="35" t="n">
        <v>112</v>
      </c>
      <c r="K39" s="36" t="n">
        <f aca="false">SUM(C39:F39)</f>
        <v>72</v>
      </c>
      <c r="L39" s="31" t="n">
        <v>0</v>
      </c>
      <c r="M39" s="32" t="n">
        <v>0</v>
      </c>
      <c r="N39" s="32" t="n">
        <v>0</v>
      </c>
      <c r="O39" s="32" t="n">
        <v>0</v>
      </c>
      <c r="P39" s="32"/>
      <c r="Q39" s="32" t="n">
        <v>0</v>
      </c>
      <c r="R39" s="32" t="n">
        <v>0</v>
      </c>
      <c r="S39" s="32" t="n">
        <v>0</v>
      </c>
      <c r="T39" s="32" t="n">
        <v>0</v>
      </c>
      <c r="U39" s="33" t="n">
        <f aca="false">SUM(M39:O39)</f>
        <v>0</v>
      </c>
    </row>
    <row r="40" customFormat="false" ht="13" hidden="false" customHeight="false" outlineLevel="0" collapsed="false">
      <c r="A40" s="10" t="s">
        <v>48</v>
      </c>
      <c r="B40" s="34" t="n">
        <v>33</v>
      </c>
      <c r="C40" s="35" t="n">
        <v>11</v>
      </c>
      <c r="D40" s="35" t="n">
        <v>0</v>
      </c>
      <c r="E40" s="35" t="n">
        <v>22</v>
      </c>
      <c r="F40" s="35" t="n">
        <v>11</v>
      </c>
      <c r="G40" s="35" t="n">
        <v>1261</v>
      </c>
      <c r="H40" s="35" t="n">
        <v>0</v>
      </c>
      <c r="I40" s="35" t="n">
        <v>78</v>
      </c>
      <c r="J40" s="35" t="n">
        <v>55</v>
      </c>
      <c r="K40" s="36" t="n">
        <f aca="false">SUM(C40:F40)</f>
        <v>44</v>
      </c>
      <c r="L40" s="31" t="n">
        <v>18</v>
      </c>
      <c r="M40" s="32" t="n">
        <v>12</v>
      </c>
      <c r="N40" s="32" t="n">
        <v>0</v>
      </c>
      <c r="O40" s="32" t="n">
        <v>23</v>
      </c>
      <c r="P40" s="32" t="n">
        <v>13</v>
      </c>
      <c r="Q40" s="32" t="n">
        <v>1218</v>
      </c>
      <c r="R40" s="32" t="n">
        <v>0</v>
      </c>
      <c r="S40" s="32" t="n">
        <v>108</v>
      </c>
      <c r="T40" s="32" t="n">
        <v>64</v>
      </c>
      <c r="U40" s="33" t="n">
        <f aca="false">SUM(M40:O40)</f>
        <v>35</v>
      </c>
    </row>
    <row r="41" customFormat="false" ht="13" hidden="false" customHeight="false" outlineLevel="0" collapsed="false">
      <c r="A41" s="10" t="s">
        <v>49</v>
      </c>
      <c r="B41" s="34" t="n">
        <v>65</v>
      </c>
      <c r="C41" s="35" t="n">
        <v>24</v>
      </c>
      <c r="D41" s="35" t="n">
        <v>0</v>
      </c>
      <c r="E41" s="35" t="n">
        <v>13</v>
      </c>
      <c r="F41" s="35" t="n">
        <v>37</v>
      </c>
      <c r="G41" s="35" t="n">
        <v>1060</v>
      </c>
      <c r="H41" s="35" t="n">
        <v>0</v>
      </c>
      <c r="I41" s="35" t="n">
        <v>75</v>
      </c>
      <c r="J41" s="35" t="n">
        <v>228</v>
      </c>
      <c r="K41" s="36" t="n">
        <f aca="false">SUM(C41:F41)</f>
        <v>74</v>
      </c>
      <c r="L41" s="31" t="n">
        <v>46</v>
      </c>
      <c r="M41" s="32" t="n">
        <v>16</v>
      </c>
      <c r="N41" s="32" t="n">
        <v>0</v>
      </c>
      <c r="O41" s="32" t="n">
        <v>11</v>
      </c>
      <c r="P41" s="32" t="n">
        <v>29</v>
      </c>
      <c r="Q41" s="32" t="n">
        <v>1155</v>
      </c>
      <c r="R41" s="32" t="n">
        <v>0</v>
      </c>
      <c r="S41" s="32" t="n">
        <v>55</v>
      </c>
      <c r="T41" s="32" t="n">
        <v>170</v>
      </c>
      <c r="U41" s="33" t="n">
        <f aca="false">SUM(M41:O41)</f>
        <v>27</v>
      </c>
    </row>
    <row r="42" customFormat="false" ht="13" hidden="false" customHeight="false" outlineLevel="0" collapsed="false">
      <c r="A42" s="10" t="s">
        <v>50</v>
      </c>
      <c r="B42" s="34" t="n">
        <v>34</v>
      </c>
      <c r="C42" s="35" t="n">
        <v>24</v>
      </c>
      <c r="D42" s="35" t="n">
        <v>21</v>
      </c>
      <c r="E42" s="35" t="n">
        <v>0</v>
      </c>
      <c r="F42" s="35" t="n">
        <v>24</v>
      </c>
      <c r="G42" s="35" t="n">
        <v>837</v>
      </c>
      <c r="H42" s="35" t="n">
        <v>458</v>
      </c>
      <c r="I42" s="35" t="n">
        <v>0</v>
      </c>
      <c r="J42" s="35" t="n">
        <v>74</v>
      </c>
      <c r="K42" s="36" t="n">
        <f aca="false">SUM(C42:F42)</f>
        <v>69</v>
      </c>
      <c r="L42" s="31" t="n">
        <v>0</v>
      </c>
      <c r="M42" s="32" t="n">
        <v>0</v>
      </c>
      <c r="N42" s="32" t="n">
        <v>0</v>
      </c>
      <c r="O42" s="32" t="n">
        <v>0</v>
      </c>
      <c r="P42" s="32"/>
      <c r="Q42" s="32" t="n">
        <v>0</v>
      </c>
      <c r="R42" s="32" t="n">
        <v>0</v>
      </c>
      <c r="S42" s="32" t="n">
        <v>0</v>
      </c>
      <c r="T42" s="32" t="n">
        <v>0</v>
      </c>
      <c r="U42" s="33" t="n">
        <f aca="false">SUM(M42:O42)</f>
        <v>0</v>
      </c>
    </row>
    <row r="43" customFormat="false" ht="13" hidden="false" customHeight="false" outlineLevel="0" collapsed="false">
      <c r="A43" s="10" t="s">
        <v>51</v>
      </c>
      <c r="B43" s="34" t="n">
        <v>53</v>
      </c>
      <c r="C43" s="35" t="n">
        <v>12</v>
      </c>
      <c r="D43" s="35" t="n">
        <v>0</v>
      </c>
      <c r="E43" s="35" t="n">
        <v>16</v>
      </c>
      <c r="F43" s="35" t="n">
        <v>32</v>
      </c>
      <c r="G43" s="35" t="n">
        <v>1183</v>
      </c>
      <c r="H43" s="35" t="n">
        <v>0</v>
      </c>
      <c r="I43" s="35" t="n">
        <v>34</v>
      </c>
      <c r="J43" s="35" t="n">
        <v>160</v>
      </c>
      <c r="K43" s="36" t="n">
        <f aca="false">SUM(C43:F43)</f>
        <v>60</v>
      </c>
      <c r="L43" s="31" t="n">
        <v>29</v>
      </c>
      <c r="M43" s="32" t="n">
        <v>14</v>
      </c>
      <c r="N43" s="32" t="n">
        <v>0</v>
      </c>
      <c r="O43" s="32" t="n">
        <v>10</v>
      </c>
      <c r="P43" s="32" t="n">
        <v>25</v>
      </c>
      <c r="Q43" s="32" t="n">
        <v>1243</v>
      </c>
      <c r="R43" s="32" t="n">
        <v>0</v>
      </c>
      <c r="S43" s="32" t="n">
        <v>36</v>
      </c>
      <c r="T43" s="32" t="n">
        <v>109</v>
      </c>
      <c r="U43" s="33" t="n">
        <f aca="false">SUM(M43:O43)</f>
        <v>24</v>
      </c>
    </row>
    <row r="44" customFormat="false" ht="13" hidden="false" customHeight="false" outlineLevel="0" collapsed="false">
      <c r="A44" s="10" t="s">
        <v>52</v>
      </c>
      <c r="B44" s="34" t="n">
        <v>125</v>
      </c>
      <c r="C44" s="35" t="n">
        <v>18</v>
      </c>
      <c r="D44" s="35" t="n">
        <v>0</v>
      </c>
      <c r="E44" s="35" t="n">
        <v>0</v>
      </c>
      <c r="F44" s="35" t="n">
        <v>52</v>
      </c>
      <c r="G44" s="35" t="n">
        <v>1033</v>
      </c>
      <c r="H44" s="35" t="n">
        <v>0</v>
      </c>
      <c r="I44" s="35" t="n">
        <v>0</v>
      </c>
      <c r="J44" s="35" t="n">
        <v>335</v>
      </c>
      <c r="K44" s="36" t="n">
        <f aca="false">SUM(C44:F44)</f>
        <v>70</v>
      </c>
      <c r="L44" s="31" t="n">
        <v>86</v>
      </c>
      <c r="M44" s="32" t="n">
        <v>18</v>
      </c>
      <c r="N44" s="32" t="n">
        <v>0</v>
      </c>
      <c r="O44" s="32" t="n">
        <v>0</v>
      </c>
      <c r="P44" s="32" t="n">
        <v>55</v>
      </c>
      <c r="Q44" s="32" t="n">
        <v>1051</v>
      </c>
      <c r="R44" s="32" t="n">
        <v>0</v>
      </c>
      <c r="S44" s="32" t="n">
        <v>0</v>
      </c>
      <c r="T44" s="32" t="n">
        <v>315</v>
      </c>
      <c r="U44" s="33" t="n">
        <f aca="false">SUM(M44:O44)</f>
        <v>18</v>
      </c>
    </row>
    <row r="45" customFormat="false" ht="13" hidden="false" customHeight="false" outlineLevel="0" collapsed="false">
      <c r="A45" s="10" t="s">
        <v>53</v>
      </c>
      <c r="B45" s="34" t="n">
        <v>302</v>
      </c>
      <c r="C45" s="35" t="n">
        <v>23.1457</v>
      </c>
      <c r="D45" s="35" t="n">
        <v>22.45364</v>
      </c>
      <c r="E45" s="35" t="n">
        <v>0</v>
      </c>
      <c r="F45" s="35" t="n">
        <v>0</v>
      </c>
      <c r="G45" s="35" t="n">
        <v>860.7384</v>
      </c>
      <c r="H45" s="35" t="n">
        <v>533.6623</v>
      </c>
      <c r="I45" s="35" t="n">
        <v>0</v>
      </c>
      <c r="J45" s="35" t="n">
        <v>0</v>
      </c>
      <c r="K45" s="36" t="n">
        <f aca="false">SUM(C45:F45)</f>
        <v>45.59934</v>
      </c>
      <c r="L45" s="31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3" t="n">
        <f aca="false">SUM(M45:O45)</f>
        <v>0</v>
      </c>
    </row>
    <row r="46" customFormat="false" ht="13" hidden="false" customHeight="false" outlineLevel="0" collapsed="false">
      <c r="A46" s="10" t="s">
        <v>54</v>
      </c>
      <c r="B46" s="34" t="n">
        <v>422</v>
      </c>
      <c r="C46" s="35" t="n">
        <v>32.90284</v>
      </c>
      <c r="D46" s="35" t="n">
        <v>21.17536</v>
      </c>
      <c r="E46" s="35" t="n">
        <v>10.44787</v>
      </c>
      <c r="F46" s="35" t="n">
        <v>0</v>
      </c>
      <c r="G46" s="35" t="n">
        <v>829.7464</v>
      </c>
      <c r="H46" s="35" t="n">
        <v>500.7133</v>
      </c>
      <c r="I46" s="35" t="n">
        <v>45.01422</v>
      </c>
      <c r="J46" s="35" t="n">
        <v>0</v>
      </c>
      <c r="K46" s="36" t="n">
        <f aca="false">SUM(C46:F46)</f>
        <v>64.52607</v>
      </c>
      <c r="L46" s="31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3" t="n">
        <f aca="false">SUM(M46:O46)</f>
        <v>0</v>
      </c>
    </row>
    <row r="47" customFormat="false" ht="13" hidden="false" customHeight="false" outlineLevel="0" collapsed="false">
      <c r="A47" s="10" t="s">
        <v>55</v>
      </c>
      <c r="B47" s="34" t="n">
        <v>842</v>
      </c>
      <c r="C47" s="35" t="n">
        <v>37.68171</v>
      </c>
      <c r="D47" s="35" t="n">
        <v>21.85273</v>
      </c>
      <c r="E47" s="35" t="n">
        <v>0</v>
      </c>
      <c r="F47" s="35" t="n">
        <v>14.42755</v>
      </c>
      <c r="G47" s="35" t="n">
        <v>765.8658</v>
      </c>
      <c r="H47" s="35" t="n">
        <v>494.3171</v>
      </c>
      <c r="I47" s="35" t="n">
        <v>0</v>
      </c>
      <c r="J47" s="35" t="n">
        <v>105.8551</v>
      </c>
      <c r="K47" s="36" t="n">
        <f aca="false">SUM(C47:F47)</f>
        <v>73.96199</v>
      </c>
      <c r="L47" s="31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3" t="n">
        <f aca="false">SUM(M47:O47)</f>
        <v>0</v>
      </c>
    </row>
    <row r="48" customFormat="false" ht="13" hidden="false" customHeight="false" outlineLevel="0" collapsed="false">
      <c r="A48" s="10" t="s">
        <v>56</v>
      </c>
      <c r="B48" s="34" t="n">
        <v>50</v>
      </c>
      <c r="C48" s="35" t="n">
        <v>27.76</v>
      </c>
      <c r="D48" s="35" t="n">
        <v>19.8</v>
      </c>
      <c r="E48" s="35" t="n">
        <v>9.38</v>
      </c>
      <c r="F48" s="35" t="n">
        <v>0</v>
      </c>
      <c r="G48" s="35" t="n">
        <v>966.74</v>
      </c>
      <c r="H48" s="35" t="n">
        <v>383.92</v>
      </c>
      <c r="I48" s="35" t="n">
        <v>32.4</v>
      </c>
      <c r="J48" s="35" t="n">
        <v>0</v>
      </c>
      <c r="K48" s="36" t="n">
        <f aca="false">SUM(C48:F48)</f>
        <v>56.94</v>
      </c>
      <c r="L48" s="31" t="n">
        <v>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3" t="n">
        <f aca="false">SUM(M48:O48)</f>
        <v>0</v>
      </c>
    </row>
    <row r="49" customFormat="false" ht="13" hidden="false" customHeight="false" outlineLevel="0" collapsed="false">
      <c r="A49" s="10" t="s">
        <v>57</v>
      </c>
      <c r="B49" s="34" t="n">
        <v>66</v>
      </c>
      <c r="C49" s="35" t="n">
        <v>21.25758</v>
      </c>
      <c r="D49" s="35" t="n">
        <v>0</v>
      </c>
      <c r="E49" s="35" t="n">
        <v>21.09091</v>
      </c>
      <c r="F49" s="35" t="n">
        <v>0</v>
      </c>
      <c r="G49" s="35" t="n">
        <v>1308.576</v>
      </c>
      <c r="H49" s="35" t="n">
        <v>0</v>
      </c>
      <c r="I49" s="35" t="n">
        <v>89.07576</v>
      </c>
      <c r="J49" s="35" t="n">
        <v>0</v>
      </c>
      <c r="K49" s="36" t="n">
        <f aca="false">SUM(C49:F49)</f>
        <v>42.34849</v>
      </c>
      <c r="L49" s="31" t="n">
        <v>50</v>
      </c>
      <c r="M49" s="32" t="n">
        <v>24.16</v>
      </c>
      <c r="N49" s="32" t="n">
        <v>0</v>
      </c>
      <c r="O49" s="32" t="n">
        <v>23.02</v>
      </c>
      <c r="P49" s="32" t="n">
        <v>0</v>
      </c>
      <c r="Q49" s="32" t="n">
        <v>1297.38</v>
      </c>
      <c r="R49" s="32" t="n">
        <v>0</v>
      </c>
      <c r="S49" s="32" t="n">
        <v>95.44</v>
      </c>
      <c r="T49" s="32" t="n">
        <v>0</v>
      </c>
      <c r="U49" s="33" t="n">
        <f aca="false">SUM(M49:O49)</f>
        <v>47.18</v>
      </c>
    </row>
    <row r="50" customFormat="false" ht="13" hidden="false" customHeight="false" outlineLevel="0" collapsed="false">
      <c r="A50" s="10" t="s">
        <v>58</v>
      </c>
      <c r="B50" s="34" t="n">
        <v>180</v>
      </c>
      <c r="C50" s="35" t="n">
        <v>27.72778</v>
      </c>
      <c r="D50" s="35" t="n">
        <v>0</v>
      </c>
      <c r="E50" s="35" t="n">
        <v>10.90556</v>
      </c>
      <c r="F50" s="35" t="n">
        <v>16.3</v>
      </c>
      <c r="G50" s="35" t="n">
        <v>1206.994</v>
      </c>
      <c r="H50" s="35" t="n">
        <v>0</v>
      </c>
      <c r="I50" s="35" t="n">
        <v>44.71111</v>
      </c>
      <c r="J50" s="35" t="n">
        <v>133.3611</v>
      </c>
      <c r="K50" s="36" t="n">
        <f aca="false">SUM(C50:F50)</f>
        <v>54.93334</v>
      </c>
      <c r="L50" s="31" t="n">
        <v>108</v>
      </c>
      <c r="M50" s="32" t="n">
        <v>28.01852</v>
      </c>
      <c r="N50" s="32" t="n">
        <v>0</v>
      </c>
      <c r="O50" s="32" t="n">
        <v>12.25</v>
      </c>
      <c r="P50" s="32" t="n">
        <v>16.2963</v>
      </c>
      <c r="Q50" s="32" t="n">
        <v>1217.028</v>
      </c>
      <c r="R50" s="32" t="n">
        <v>0</v>
      </c>
      <c r="S50" s="32" t="n">
        <v>54.09259</v>
      </c>
      <c r="T50" s="32" t="n">
        <v>112.3148</v>
      </c>
      <c r="U50" s="33" t="n">
        <f aca="false">SUM(M50:O50)</f>
        <v>40.26852</v>
      </c>
    </row>
    <row r="51" customFormat="false" ht="13" hidden="false" customHeight="false" outlineLevel="0" collapsed="false">
      <c r="A51" s="10" t="s">
        <v>59</v>
      </c>
      <c r="B51" s="34" t="n">
        <v>181</v>
      </c>
      <c r="C51" s="35" t="n">
        <v>32.49171</v>
      </c>
      <c r="D51" s="35" t="n">
        <v>19.76243</v>
      </c>
      <c r="E51" s="35" t="n">
        <v>0</v>
      </c>
      <c r="F51" s="35" t="n">
        <v>13.08287</v>
      </c>
      <c r="G51" s="35" t="n">
        <v>884.0552</v>
      </c>
      <c r="H51" s="35" t="n">
        <v>387.9337</v>
      </c>
      <c r="I51" s="35" t="n">
        <v>0</v>
      </c>
      <c r="J51" s="35" t="n">
        <v>102.674</v>
      </c>
      <c r="K51" s="36" t="n">
        <f aca="false">SUM(C51:F51)</f>
        <v>65.33701</v>
      </c>
      <c r="L51" s="31" t="n">
        <v>0</v>
      </c>
      <c r="M51" s="32" t="n">
        <v>0</v>
      </c>
      <c r="N51" s="32" t="n">
        <v>0</v>
      </c>
      <c r="O51" s="32" t="n">
        <v>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3" t="n">
        <f aca="false">SUM(M51:O51)</f>
        <v>0</v>
      </c>
    </row>
    <row r="52" customFormat="false" ht="13" hidden="false" customHeight="false" outlineLevel="0" collapsed="false">
      <c r="A52" s="10" t="s">
        <v>60</v>
      </c>
      <c r="B52" s="34" t="n">
        <v>169</v>
      </c>
      <c r="C52" s="35" t="n">
        <v>28.83432</v>
      </c>
      <c r="D52" s="35" t="n">
        <v>0</v>
      </c>
      <c r="E52" s="35" t="n">
        <v>10.97041</v>
      </c>
      <c r="F52" s="35" t="n">
        <v>16.81657</v>
      </c>
      <c r="G52" s="35" t="n">
        <v>1200.325</v>
      </c>
      <c r="H52" s="35" t="n">
        <v>0</v>
      </c>
      <c r="I52" s="35" t="n">
        <v>48.86391</v>
      </c>
      <c r="J52" s="35" t="n">
        <v>134.1893</v>
      </c>
      <c r="K52" s="36" t="n">
        <f aca="false">SUM(C52:F52)</f>
        <v>56.6213</v>
      </c>
      <c r="L52" s="31" t="n">
        <v>96</v>
      </c>
      <c r="M52" s="32" t="n">
        <v>27.71875</v>
      </c>
      <c r="N52" s="32" t="n">
        <v>0</v>
      </c>
      <c r="O52" s="32" t="n">
        <v>10.21875</v>
      </c>
      <c r="P52" s="32" t="n">
        <v>15.70833</v>
      </c>
      <c r="Q52" s="32" t="n">
        <v>1191.458</v>
      </c>
      <c r="R52" s="32" t="n">
        <v>0</v>
      </c>
      <c r="S52" s="32" t="n">
        <v>49.22917</v>
      </c>
      <c r="T52" s="32" t="n">
        <v>145.6667</v>
      </c>
      <c r="U52" s="33" t="n">
        <f aca="false">SUM(M52:O52)</f>
        <v>37.9375</v>
      </c>
    </row>
    <row r="53" customFormat="false" ht="13" hidden="false" customHeight="false" outlineLevel="0" collapsed="false">
      <c r="A53" s="10" t="s">
        <v>61</v>
      </c>
      <c r="B53" s="34" t="n">
        <v>394</v>
      </c>
      <c r="C53" s="35" t="n">
        <v>28.8401</v>
      </c>
      <c r="D53" s="35" t="n">
        <v>0</v>
      </c>
      <c r="E53" s="35" t="n">
        <v>0</v>
      </c>
      <c r="F53" s="35" t="n">
        <v>28.40102</v>
      </c>
      <c r="G53" s="35" t="n">
        <v>1131.985</v>
      </c>
      <c r="H53" s="35" t="n">
        <v>0</v>
      </c>
      <c r="I53" s="35" t="n">
        <v>0</v>
      </c>
      <c r="J53" s="35" t="n">
        <v>250.7741</v>
      </c>
      <c r="K53" s="36" t="n">
        <f aca="false">SUM(C53:F53)</f>
        <v>57.24112</v>
      </c>
      <c r="L53" s="31" t="n">
        <v>268</v>
      </c>
      <c r="M53" s="32" t="n">
        <v>31.36194</v>
      </c>
      <c r="N53" s="32" t="n">
        <v>0</v>
      </c>
      <c r="O53" s="32" t="n">
        <v>0</v>
      </c>
      <c r="P53" s="32" t="n">
        <v>30.97761</v>
      </c>
      <c r="Q53" s="32" t="n">
        <v>1151.854</v>
      </c>
      <c r="R53" s="32" t="n">
        <v>0</v>
      </c>
      <c r="S53" s="32" t="n">
        <v>0</v>
      </c>
      <c r="T53" s="32" t="n">
        <v>225.806</v>
      </c>
      <c r="U53" s="33" t="n">
        <f aca="false">SUM(M53:O53)</f>
        <v>31.36194</v>
      </c>
    </row>
    <row r="54" customFormat="false" ht="14" hidden="false" customHeight="false" outlineLevel="0" collapsed="false">
      <c r="A54" s="22" t="s">
        <v>62</v>
      </c>
      <c r="B54" s="37" t="n">
        <v>2</v>
      </c>
      <c r="C54" s="38" t="n">
        <v>32.5</v>
      </c>
      <c r="D54" s="38" t="n">
        <v>0</v>
      </c>
      <c r="E54" s="38" t="n">
        <v>0</v>
      </c>
      <c r="F54" s="38" t="n">
        <v>25</v>
      </c>
      <c r="G54" s="38" t="n">
        <v>1242.5</v>
      </c>
      <c r="H54" s="38" t="n">
        <v>0</v>
      </c>
      <c r="I54" s="38" t="n">
        <v>0</v>
      </c>
      <c r="J54" s="38" t="n">
        <v>140</v>
      </c>
      <c r="K54" s="39" t="n">
        <f aca="false">SUM(C54:F54)</f>
        <v>57.5</v>
      </c>
      <c r="L54" s="40" t="n">
        <v>2</v>
      </c>
      <c r="M54" s="41" t="n">
        <v>23.5</v>
      </c>
      <c r="N54" s="41" t="n">
        <v>0</v>
      </c>
      <c r="O54" s="41" t="n">
        <v>0</v>
      </c>
      <c r="P54" s="41" t="n">
        <v>23.5</v>
      </c>
      <c r="Q54" s="41" t="n">
        <v>1096.5</v>
      </c>
      <c r="R54" s="41" t="n">
        <v>0</v>
      </c>
      <c r="S54" s="41" t="n">
        <v>0</v>
      </c>
      <c r="T54" s="41" t="n">
        <v>296.5</v>
      </c>
      <c r="U54" s="42" t="n">
        <f aca="false">SUM(M54:O54)</f>
        <v>23.5</v>
      </c>
    </row>
    <row r="56" customFormat="false" ht="13" hidden="false" customHeight="false" outlineLevel="0" collapsed="false">
      <c r="B56" s="43" t="n">
        <f aca="false">SUM(B6:B54)</f>
        <v>12127</v>
      </c>
      <c r="C56" s="43" t="n">
        <f aca="false">B56+L56</f>
        <v>14312</v>
      </c>
      <c r="L56" s="43" t="n">
        <f aca="false">SUM(L6:L54)</f>
        <v>2185</v>
      </c>
    </row>
    <row r="58" customFormat="false" ht="13" hidden="false" customHeight="false" outlineLevel="0" collapsed="false">
      <c r="A58" s="0" t="n">
        <v>1111</v>
      </c>
    </row>
    <row r="59" customFormat="false" ht="13" hidden="false" customHeight="false" outlineLevel="0" collapsed="false">
      <c r="A59" s="0" t="n">
        <v>1112</v>
      </c>
    </row>
    <row r="60" customFormat="false" ht="13" hidden="false" customHeight="false" outlineLevel="0" collapsed="false">
      <c r="A60" s="0" t="n">
        <v>1113</v>
      </c>
    </row>
    <row r="61" customFormat="false" ht="13" hidden="false" customHeight="false" outlineLevel="0" collapsed="false">
      <c r="A61" s="0" t="n">
        <v>1114</v>
      </c>
    </row>
    <row r="62" customFormat="false" ht="13" hidden="false" customHeight="false" outlineLevel="0" collapsed="false">
      <c r="A62" s="0" t="n">
        <v>1211</v>
      </c>
    </row>
    <row r="63" customFormat="false" ht="13" hidden="false" customHeight="false" outlineLevel="0" collapsed="false">
      <c r="A63" s="0" t="n">
        <v>1212</v>
      </c>
    </row>
    <row r="64" customFormat="false" ht="13" hidden="false" customHeight="false" outlineLevel="0" collapsed="false">
      <c r="A64" s="0" t="n">
        <v>1213</v>
      </c>
    </row>
    <row r="65" customFormat="false" ht="13" hidden="false" customHeight="false" outlineLevel="0" collapsed="false">
      <c r="A65" s="0" t="n">
        <v>1214</v>
      </c>
    </row>
    <row r="66" customFormat="false" ht="13" hidden="false" customHeight="false" outlineLevel="0" collapsed="false">
      <c r="A66" s="0" t="n">
        <v>1221</v>
      </c>
    </row>
    <row r="67" customFormat="false" ht="13" hidden="false" customHeight="false" outlineLevel="0" collapsed="false">
      <c r="A67" s="0" t="n">
        <v>1222</v>
      </c>
    </row>
    <row r="68" customFormat="false" ht="13" hidden="false" customHeight="false" outlineLevel="0" collapsed="false">
      <c r="A68" s="0" t="n">
        <v>1223</v>
      </c>
    </row>
    <row r="69" customFormat="false" ht="13" hidden="false" customHeight="false" outlineLevel="0" collapsed="false">
      <c r="A69" s="0" t="n">
        <v>1224</v>
      </c>
    </row>
    <row r="70" customFormat="false" ht="13" hidden="false" customHeight="false" outlineLevel="0" collapsed="false">
      <c r="A70" s="0" t="n">
        <v>1231</v>
      </c>
    </row>
    <row r="71" customFormat="false" ht="13" hidden="false" customHeight="false" outlineLevel="0" collapsed="false">
      <c r="A71" s="0" t="n">
        <v>1232</v>
      </c>
    </row>
    <row r="72" customFormat="false" ht="13" hidden="false" customHeight="false" outlineLevel="0" collapsed="false">
      <c r="A72" s="0" t="n">
        <v>1233</v>
      </c>
    </row>
    <row r="73" customFormat="false" ht="13" hidden="false" customHeight="false" outlineLevel="0" collapsed="false">
      <c r="A73" s="0" t="n">
        <v>1234</v>
      </c>
    </row>
    <row r="74" customFormat="false" ht="13" hidden="false" customHeight="false" outlineLevel="0" collapsed="false">
      <c r="A74" s="0" t="n">
        <v>1241</v>
      </c>
    </row>
    <row r="75" customFormat="false" ht="13" hidden="false" customHeight="false" outlineLevel="0" collapsed="false">
      <c r="A75" s="0" t="n">
        <v>1242</v>
      </c>
    </row>
    <row r="76" customFormat="false" ht="13" hidden="false" customHeight="false" outlineLevel="0" collapsed="false">
      <c r="A76" s="0" t="n">
        <v>1243</v>
      </c>
    </row>
    <row r="77" customFormat="false" ht="13" hidden="false" customHeight="false" outlineLevel="0" collapsed="false">
      <c r="A77" s="0" t="n">
        <v>1244</v>
      </c>
    </row>
    <row r="78" customFormat="false" ht="13" hidden="false" customHeight="false" outlineLevel="0" collapsed="false">
      <c r="A78" s="0" t="n">
        <v>1311</v>
      </c>
    </row>
    <row r="79" customFormat="false" ht="13" hidden="false" customHeight="false" outlineLevel="0" collapsed="false">
      <c r="A79" s="0" t="n">
        <v>1312</v>
      </c>
    </row>
    <row r="80" customFormat="false" ht="13" hidden="false" customHeight="false" outlineLevel="0" collapsed="false">
      <c r="A80" s="0" t="n">
        <v>1313</v>
      </c>
    </row>
    <row r="81" customFormat="false" ht="13" hidden="false" customHeight="false" outlineLevel="0" collapsed="false">
      <c r="A81" s="0" t="n">
        <v>1314</v>
      </c>
    </row>
    <row r="82" customFormat="false" ht="13" hidden="false" customHeight="false" outlineLevel="0" collapsed="false">
      <c r="A82" s="0" t="n">
        <v>1321</v>
      </c>
    </row>
    <row r="83" customFormat="false" ht="13" hidden="false" customHeight="false" outlineLevel="0" collapsed="false">
      <c r="A83" s="0" t="n">
        <v>1322</v>
      </c>
    </row>
    <row r="84" customFormat="false" ht="13" hidden="false" customHeight="false" outlineLevel="0" collapsed="false">
      <c r="A84" s="0" t="n">
        <v>1323</v>
      </c>
    </row>
    <row r="85" customFormat="false" ht="13" hidden="false" customHeight="false" outlineLevel="0" collapsed="false">
      <c r="A85" s="0" t="n">
        <v>1324</v>
      </c>
    </row>
    <row r="86" customFormat="false" ht="13" hidden="false" customHeight="false" outlineLevel="0" collapsed="false">
      <c r="A86" s="0" t="n">
        <v>1331</v>
      </c>
    </row>
    <row r="87" customFormat="false" ht="13" hidden="false" customHeight="false" outlineLevel="0" collapsed="false">
      <c r="A87" s="0" t="n">
        <v>1332</v>
      </c>
    </row>
    <row r="88" customFormat="false" ht="13" hidden="false" customHeight="false" outlineLevel="0" collapsed="false">
      <c r="A88" s="0" t="n">
        <v>1333</v>
      </c>
    </row>
    <row r="89" customFormat="false" ht="13" hidden="false" customHeight="false" outlineLevel="0" collapsed="false">
      <c r="A89" s="0" t="n">
        <v>1334</v>
      </c>
    </row>
    <row r="90" customFormat="false" ht="13" hidden="false" customHeight="false" outlineLevel="0" collapsed="false">
      <c r="A90" s="0" t="n">
        <v>1341</v>
      </c>
    </row>
    <row r="91" customFormat="false" ht="13" hidden="false" customHeight="false" outlineLevel="0" collapsed="false">
      <c r="A91" s="0" t="n">
        <v>1342</v>
      </c>
    </row>
    <row r="92" customFormat="false" ht="13" hidden="false" customHeight="false" outlineLevel="0" collapsed="false">
      <c r="A92" s="0" t="n">
        <v>1343</v>
      </c>
    </row>
    <row r="93" customFormat="false" ht="13" hidden="false" customHeight="false" outlineLevel="0" collapsed="false">
      <c r="A93" s="0" t="n">
        <v>1344</v>
      </c>
    </row>
    <row r="94" customFormat="false" ht="13" hidden="false" customHeight="false" outlineLevel="0" collapsed="false">
      <c r="A94" s="0" t="n">
        <v>1411</v>
      </c>
    </row>
    <row r="95" customFormat="false" ht="13" hidden="false" customHeight="false" outlineLevel="0" collapsed="false">
      <c r="A95" s="0" t="n">
        <v>1412</v>
      </c>
    </row>
    <row r="96" customFormat="false" ht="13" hidden="false" customHeight="false" outlineLevel="0" collapsed="false">
      <c r="A96" s="0" t="n">
        <v>1413</v>
      </c>
    </row>
    <row r="97" customFormat="false" ht="13" hidden="false" customHeight="false" outlineLevel="0" collapsed="false">
      <c r="A97" s="0" t="n">
        <v>1414</v>
      </c>
    </row>
    <row r="98" customFormat="false" ht="13" hidden="false" customHeight="false" outlineLevel="0" collapsed="false">
      <c r="A98" s="0" t="n">
        <v>1421</v>
      </c>
    </row>
    <row r="99" customFormat="false" ht="13" hidden="false" customHeight="false" outlineLevel="0" collapsed="false">
      <c r="A99" s="0" t="n">
        <v>1422</v>
      </c>
    </row>
    <row r="100" customFormat="false" ht="13" hidden="false" customHeight="false" outlineLevel="0" collapsed="false">
      <c r="A100" s="0" t="n">
        <v>1423</v>
      </c>
    </row>
    <row r="101" customFormat="false" ht="13" hidden="false" customHeight="false" outlineLevel="0" collapsed="false">
      <c r="A101" s="0" t="n">
        <v>1424</v>
      </c>
    </row>
    <row r="102" customFormat="false" ht="13" hidden="false" customHeight="false" outlineLevel="0" collapsed="false">
      <c r="A102" s="0" t="n">
        <v>1431</v>
      </c>
    </row>
    <row r="103" customFormat="false" ht="13" hidden="false" customHeight="false" outlineLevel="0" collapsed="false">
      <c r="A103" s="0" t="n">
        <v>1432</v>
      </c>
    </row>
    <row r="104" customFormat="false" ht="13" hidden="false" customHeight="false" outlineLevel="0" collapsed="false">
      <c r="A104" s="0" t="n">
        <v>1433</v>
      </c>
    </row>
    <row r="105" customFormat="false" ht="13" hidden="false" customHeight="false" outlineLevel="0" collapsed="false">
      <c r="A105" s="0" t="n">
        <v>1434</v>
      </c>
    </row>
    <row r="106" customFormat="false" ht="13" hidden="false" customHeight="false" outlineLevel="0" collapsed="false">
      <c r="A106" s="0" t="n">
        <v>1441</v>
      </c>
    </row>
    <row r="107" customFormat="false" ht="13" hidden="false" customHeight="false" outlineLevel="0" collapsed="false">
      <c r="A107" s="0" t="n">
        <v>1442</v>
      </c>
    </row>
    <row r="108" customFormat="false" ht="13" hidden="false" customHeight="false" outlineLevel="0" collapsed="false">
      <c r="A108" s="0" t="n">
        <v>1443</v>
      </c>
    </row>
    <row r="109" customFormat="false" ht="13" hidden="false" customHeight="false" outlineLevel="0" collapsed="false">
      <c r="A109" s="0" t="n">
        <v>1444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2000-10-28T04:04:41Z</dcterms:created>
  <dc:creator>Sesh</dc:creator>
  <dc:description/>
  <dc:language>en-AU</dc:language>
  <cp:lastModifiedBy>Sesh</cp:lastModifiedBy>
  <cp:revision>0</cp:revision>
  <dc:subject/>
  <dc:title/>
</cp:coreProperties>
</file>