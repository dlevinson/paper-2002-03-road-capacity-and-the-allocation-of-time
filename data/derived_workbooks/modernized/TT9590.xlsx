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Area" vbProcedure="false">Sheet1!$C$104:$O$120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<sst xmlns="http://schemas.openxmlformats.org/spreadsheetml/2006/main" count="180" uniqueCount="52">
  <si>
    <t xml:space="preserve">DURATION BY ACTIVITY , WORK STATUS AND GENDER FOR 1995</t>
  </si>
  <si>
    <t xml:space="preserve">                 HOME</t>
  </si>
  <si>
    <t xml:space="preserve">                WORK</t>
  </si>
  <si>
    <t xml:space="preserve">                 SHOP</t>
  </si>
  <si>
    <t xml:space="preserve">                OTHER</t>
  </si>
  <si>
    <t xml:space="preserve">               TRAVEL</t>
  </si>
  <si>
    <t xml:space="preserve">CASES</t>
  </si>
  <si>
    <t xml:space="preserve">act</t>
  </si>
  <si>
    <t xml:space="preserve">tt</t>
  </si>
  <si>
    <t xml:space="preserve">work</t>
  </si>
  <si>
    <t xml:space="preserve">shop</t>
  </si>
  <si>
    <t xml:space="preserve">other</t>
  </si>
  <si>
    <t xml:space="preserve">MEAN</t>
  </si>
  <si>
    <t xml:space="preserve">STD DEV</t>
  </si>
  <si>
    <t xml:space="preserve">FEMALE</t>
  </si>
  <si>
    <t xml:space="preserve">NON WORKER</t>
  </si>
  <si>
    <t xml:space="preserve">1172*</t>
  </si>
  <si>
    <t xml:space="preserve">42*</t>
  </si>
  <si>
    <t xml:space="preserve">166*</t>
  </si>
  <si>
    <t xml:space="preserve">WORKER</t>
  </si>
  <si>
    <t xml:space="preserve">944*</t>
  </si>
  <si>
    <t xml:space="preserve">313*</t>
  </si>
  <si>
    <t xml:space="preserve">25*</t>
  </si>
  <si>
    <t xml:space="preserve">93*</t>
  </si>
  <si>
    <t xml:space="preserve">MALE</t>
  </si>
  <si>
    <t xml:space="preserve">1171*</t>
  </si>
  <si>
    <t xml:space="preserve">177*</t>
  </si>
  <si>
    <t xml:space="preserve">365*</t>
  </si>
  <si>
    <t xml:space="preserve">15*</t>
  </si>
  <si>
    <t xml:space="preserve">90*</t>
  </si>
  <si>
    <t xml:space="preserve">DURATION BY ACTIVITY , WORK STATUS AND GENDER FOR 1990</t>
  </si>
  <si>
    <r>
      <rPr>
        <sz val="9"/>
        <rFont val="Geneva"/>
        <family val="0"/>
      </rPr>
      <t xml:space="preserve">   *</t>
    </r>
    <r>
      <rPr>
        <b val="true"/>
        <sz val="9"/>
        <rFont val="Geneva"/>
        <family val="0"/>
      </rPr>
      <t xml:space="preserve"> DENOTES SIGNIFICANCE at 95% LEVEL AFTER DIFFERENCE OF MEANS TEST ON 1995 AND 1990 RESULTS</t>
    </r>
  </si>
  <si>
    <t xml:space="preserve">                 TABLE 1: TRAVEL TIMES AND ACTIVITY DURATION COMPARISION FOR 1990 AND 1995</t>
  </si>
  <si>
    <t xml:space="preserve">SEX_YEAR</t>
  </si>
  <si>
    <t xml:space="preserve">                     HOME</t>
  </si>
  <si>
    <t xml:space="preserve">                    WORK</t>
  </si>
  <si>
    <t xml:space="preserve">                     SHOP</t>
  </si>
  <si>
    <t xml:space="preserve">                    OTHER</t>
  </si>
  <si>
    <t xml:space="preserve">FEMALE_95</t>
  </si>
  <si>
    <t xml:space="preserve">*</t>
  </si>
  <si>
    <t xml:space="preserve">FEMALE_90</t>
  </si>
  <si>
    <r>
      <rPr>
        <sz val="9"/>
        <rFont val="Geneva"/>
        <family val="0"/>
      </rPr>
      <t xml:space="preserve">                *</t>
    </r>
    <r>
      <rPr>
        <b val="true"/>
        <sz val="9"/>
        <rFont val="Geneva"/>
        <family val="0"/>
      </rPr>
      <t xml:space="preserve"> DENOTES SIGNIFICANCE at 95% LEVEL AFTER DIFFERENCE OF MEANS TEST ON 1995 AND 1990 RESULTS</t>
    </r>
  </si>
  <si>
    <t xml:space="preserve"> DURATION BY ACTIVITY , WORK STATUS AND GENDER FOR 1990</t>
  </si>
  <si>
    <t xml:space="preserve">                 TABLE 2: TRAVEL TIMES AND ACTIVITY DURATION COMPARISION FOR 1990 AND 1995</t>
  </si>
  <si>
    <t xml:space="preserve">WORK STATUS</t>
  </si>
  <si>
    <t xml:space="preserve">  TIME AT HOME</t>
  </si>
  <si>
    <t xml:space="preserve">  TIME AT WORK</t>
  </si>
  <si>
    <t xml:space="preserve">  TIME AT SHOP </t>
  </si>
  <si>
    <t xml:space="preserve"> TIME AT OTHER</t>
  </si>
  <si>
    <t xml:space="preserve">   TRAVEL </t>
  </si>
  <si>
    <t xml:space="preserve">    CASES</t>
  </si>
  <si>
    <r>
      <rPr>
        <sz val="9"/>
        <rFont val="Geneva"/>
        <family val="0"/>
      </rPr>
      <t xml:space="preserve">          *</t>
    </r>
    <r>
      <rPr>
        <b val="true"/>
        <sz val="9"/>
        <rFont val="Geneva"/>
        <family val="0"/>
      </rPr>
      <t xml:space="preserve"> DENOTES SIGNIFICANCE at 95% LEVEL AFTER DIFFERENCE OF MEANS TEST ON 1995 AND 1990 RESULTS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</si>
</sst>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0"/>
    </font>
    <font>
      <b val="true"/>
      <sz val="10"/>
      <name val="Geneva"/>
      <family val="0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H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2" min="1" style="0" width="11.16"/>
    <col collapsed="false" customWidth="true" hidden="false" outlineLevel="0" max="4" min="4" style="0" width="12.16"/>
    <col collapsed="false" customWidth="true" hidden="false" outlineLevel="0" max="5" min="5" style="0" width="9.83"/>
    <col collapsed="false" customWidth="true" hidden="false" outlineLevel="0" max="6" min="6" style="0" width="3.66"/>
    <col collapsed="false" customWidth="true" hidden="false" outlineLevel="0" max="8" min="8" style="0" width="2.32"/>
    <col collapsed="false" customWidth="true" hidden="false" outlineLevel="0" max="10" min="10" style="0" width="2.66"/>
    <col collapsed="false" customWidth="true" hidden="false" outlineLevel="0" max="12" min="12" style="0" width="2.49"/>
  </cols>
  <sheetData>
    <row r="1" customFormat="false" ht="13" hidden="false" customHeight="false" outlineLevel="0" collapsed="false">
      <c r="G1" s="1"/>
      <c r="H1" s="1"/>
    </row>
    <row r="2" customFormat="false" ht="13" hidden="false" customHeight="false" outlineLevel="0" collapsed="false">
      <c r="G2" s="1" t="s">
        <v>0</v>
      </c>
      <c r="H2" s="1"/>
    </row>
    <row r="4" customFormat="false" ht="13" hidden="false" customHeight="false" outlineLevel="0" collapsed="false">
      <c r="C4" s="2" t="n">
        <v>1995</v>
      </c>
      <c r="D4" s="3"/>
      <c r="E4" s="4" t="s">
        <v>1</v>
      </c>
      <c r="F4" s="5"/>
      <c r="G4" s="4" t="s">
        <v>2</v>
      </c>
      <c r="H4" s="5"/>
      <c r="I4" s="4" t="s">
        <v>3</v>
      </c>
      <c r="J4" s="5"/>
      <c r="K4" s="4" t="s">
        <v>4</v>
      </c>
      <c r="L4" s="5"/>
      <c r="M4" s="4" t="s">
        <v>5</v>
      </c>
      <c r="N4" s="2" t="s">
        <v>6</v>
      </c>
      <c r="P4" s="2" t="n">
        <v>1990</v>
      </c>
      <c r="Q4" s="3"/>
      <c r="R4" s="4" t="s">
        <v>1</v>
      </c>
      <c r="S4" s="6"/>
      <c r="T4" s="4" t="s">
        <v>2</v>
      </c>
      <c r="U4" s="6"/>
      <c r="V4" s="4" t="s">
        <v>3</v>
      </c>
      <c r="W4" s="6"/>
      <c r="X4" s="4" t="s">
        <v>4</v>
      </c>
      <c r="Y4" s="6"/>
      <c r="Z4" s="4" t="s">
        <v>5</v>
      </c>
      <c r="AA4" s="6"/>
      <c r="AB4" s="2" t="s">
        <v>6</v>
      </c>
      <c r="AD4" s="0" t="s">
        <v>7</v>
      </c>
      <c r="AE4" s="0" t="s">
        <v>8</v>
      </c>
      <c r="AF4" s="0" t="s">
        <v>9</v>
      </c>
      <c r="AG4" s="0" t="s">
        <v>10</v>
      </c>
      <c r="AH4" s="0" t="s">
        <v>11</v>
      </c>
    </row>
    <row r="5" customFormat="false" ht="13" hidden="false" customHeight="false" outlineLevel="0" collapsed="false">
      <c r="C5" s="7"/>
      <c r="D5" s="7"/>
      <c r="E5" s="8" t="s">
        <v>12</v>
      </c>
      <c r="F5" s="9"/>
      <c r="G5" s="8" t="s">
        <v>12</v>
      </c>
      <c r="H5" s="9"/>
      <c r="I5" s="8" t="s">
        <v>12</v>
      </c>
      <c r="J5" s="9"/>
      <c r="K5" s="8" t="s">
        <v>12</v>
      </c>
      <c r="L5" s="9"/>
      <c r="M5" s="8" t="s">
        <v>12</v>
      </c>
      <c r="N5" s="7"/>
      <c r="P5" s="10"/>
      <c r="Q5" s="10"/>
      <c r="R5" s="11" t="s">
        <v>12</v>
      </c>
      <c r="S5" s="12" t="s">
        <v>13</v>
      </c>
      <c r="T5" s="11" t="s">
        <v>12</v>
      </c>
      <c r="U5" s="12" t="s">
        <v>13</v>
      </c>
      <c r="V5" s="11" t="s">
        <v>12</v>
      </c>
      <c r="W5" s="12" t="s">
        <v>13</v>
      </c>
      <c r="X5" s="11" t="s">
        <v>12</v>
      </c>
      <c r="Y5" s="12" t="s">
        <v>13</v>
      </c>
      <c r="Z5" s="11" t="s">
        <v>12</v>
      </c>
      <c r="AA5" s="12" t="s">
        <v>13</v>
      </c>
      <c r="AB5" s="7"/>
    </row>
    <row r="6" customFormat="false" ht="13" hidden="false" customHeight="false" outlineLevel="0" collapsed="false">
      <c r="C6" s="13" t="s">
        <v>14</v>
      </c>
      <c r="D6" s="13" t="s">
        <v>15</v>
      </c>
      <c r="E6" s="14" t="s">
        <v>16</v>
      </c>
      <c r="F6" s="15"/>
      <c r="G6" s="14" t="n">
        <v>0</v>
      </c>
      <c r="H6" s="15"/>
      <c r="I6" s="14" t="s">
        <v>17</v>
      </c>
      <c r="J6" s="15"/>
      <c r="K6" s="14" t="s">
        <v>18</v>
      </c>
      <c r="L6" s="15"/>
      <c r="M6" s="14" t="n">
        <v>59.83357</v>
      </c>
      <c r="N6" s="16" t="n">
        <v>2812</v>
      </c>
      <c r="P6" s="17" t="s">
        <v>14</v>
      </c>
      <c r="Q6" s="17" t="s">
        <v>15</v>
      </c>
      <c r="R6" s="14" t="n">
        <v>1220.085</v>
      </c>
      <c r="S6" s="18" t="n">
        <v>208.5702</v>
      </c>
      <c r="T6" s="14" t="n">
        <v>0</v>
      </c>
      <c r="U6" s="18" t="n">
        <v>0</v>
      </c>
      <c r="V6" s="14" t="n">
        <v>35.22353</v>
      </c>
      <c r="W6" s="18" t="n">
        <v>69.72813</v>
      </c>
      <c r="X6" s="14" t="n">
        <v>126.6127</v>
      </c>
      <c r="Y6" s="18" t="n">
        <v>172.3585</v>
      </c>
      <c r="Z6" s="14" t="n">
        <v>58.07843</v>
      </c>
      <c r="AA6" s="18" t="n">
        <v>60.52177</v>
      </c>
      <c r="AB6" s="13" t="n">
        <v>1020</v>
      </c>
      <c r="AD6" s="0" t="e">
        <f aca="false">(E6-R6)/SQRT((#REF!*#REF!/N6)+(S6*S6/AB6))</f>
        <v>#VALUE!</v>
      </c>
      <c r="AE6" s="0" t="e">
        <f aca="false">(M6-Z6)/SQRT((#REF!*#REF!/N6)+(AA6*AA6/AB6))</f>
        <v>#REF!</v>
      </c>
      <c r="AF6" s="0" t="n">
        <v>0</v>
      </c>
      <c r="AG6" s="0" t="e">
        <f aca="false">(I6-V6)/(SQRT((#REF!*#REF!/N6)+(W6*W6/AB6)))</f>
        <v>#VALUE!</v>
      </c>
      <c r="AH6" s="0" t="e">
        <f aca="false">(K6-X6)/(SQRT((#REF!*#REF!/N6)+(Y6*Y6/AB6)))</f>
        <v>#VALUE!</v>
      </c>
    </row>
    <row r="7" customFormat="false" ht="13" hidden="false" customHeight="false" outlineLevel="0" collapsed="false">
      <c r="C7" s="13"/>
      <c r="D7" s="13" t="s">
        <v>19</v>
      </c>
      <c r="E7" s="14" t="s">
        <v>20</v>
      </c>
      <c r="F7" s="15"/>
      <c r="G7" s="14" t="s">
        <v>21</v>
      </c>
      <c r="H7" s="15"/>
      <c r="I7" s="14" t="s">
        <v>22</v>
      </c>
      <c r="J7" s="15"/>
      <c r="K7" s="14" t="s">
        <v>23</v>
      </c>
      <c r="L7" s="15"/>
      <c r="M7" s="14" t="n">
        <v>64.88745</v>
      </c>
      <c r="N7" s="17" t="n">
        <v>8014</v>
      </c>
      <c r="P7" s="17"/>
      <c r="Q7" s="17" t="s">
        <v>19</v>
      </c>
      <c r="R7" s="14" t="n">
        <v>928.2832</v>
      </c>
      <c r="S7" s="18" t="n">
        <v>356.9173</v>
      </c>
      <c r="T7" s="14" t="n">
        <v>284.3471</v>
      </c>
      <c r="U7" s="18" t="n">
        <v>357.3908</v>
      </c>
      <c r="V7" s="14" t="n">
        <v>30.10375</v>
      </c>
      <c r="W7" s="18" t="n">
        <v>69.35141</v>
      </c>
      <c r="X7" s="14" t="n">
        <v>131.8686</v>
      </c>
      <c r="Y7" s="18" t="n">
        <v>190.9533</v>
      </c>
      <c r="Z7" s="14" t="n">
        <v>65.39724</v>
      </c>
      <c r="AA7" s="18" t="n">
        <v>64.13466</v>
      </c>
      <c r="AB7" s="13" t="n">
        <v>2535</v>
      </c>
      <c r="AD7" s="0" t="e">
        <f aca="false">(E7-R7)/SQRT((#REF!*#REF!/N7)+(S7*S7/AB7))</f>
        <v>#VALUE!</v>
      </c>
      <c r="AE7" s="0" t="e">
        <f aca="false">(M7-Z7)/SQRT((#REF!*#REF!/N7)+(AA7*AA7/AB7))</f>
        <v>#REF!</v>
      </c>
      <c r="AF7" s="0" t="e">
        <f aca="false">(G7-T7)/(SQRT((U7*U7/AB7)+(#REF!*#REF!/N7)))</f>
        <v>#VALUE!</v>
      </c>
      <c r="AG7" s="0" t="e">
        <f aca="false">(I7-V7)/(SQRT((#REF!*#REF!/N7)+(W7*W7/AB7)))</f>
        <v>#VALUE!</v>
      </c>
      <c r="AH7" s="0" t="e">
        <f aca="false">(K7-X7)/(SQRT((#REF!*#REF!/N7)+(Y7*Y7/AB7)))</f>
        <v>#VALUE!</v>
      </c>
    </row>
    <row r="8" customFormat="false" ht="13" hidden="false" customHeight="false" outlineLevel="0" collapsed="false">
      <c r="C8" s="13"/>
      <c r="D8" s="13"/>
      <c r="E8" s="14"/>
      <c r="F8" s="15"/>
      <c r="G8" s="14"/>
      <c r="H8" s="15"/>
      <c r="I8" s="14"/>
      <c r="J8" s="15"/>
      <c r="K8" s="14"/>
      <c r="L8" s="15"/>
      <c r="M8" s="14"/>
      <c r="N8" s="17"/>
      <c r="P8" s="17"/>
      <c r="Q8" s="17"/>
      <c r="R8" s="14"/>
      <c r="S8" s="18"/>
      <c r="T8" s="14"/>
      <c r="U8" s="18"/>
      <c r="V8" s="14"/>
      <c r="W8" s="18"/>
      <c r="X8" s="14"/>
      <c r="Y8" s="18"/>
      <c r="Z8" s="14"/>
      <c r="AA8" s="18"/>
      <c r="AB8" s="13"/>
    </row>
    <row r="9" customFormat="false" ht="13" hidden="false" customHeight="false" outlineLevel="0" collapsed="false">
      <c r="C9" s="13" t="s">
        <v>24</v>
      </c>
      <c r="D9" s="13" t="s">
        <v>15</v>
      </c>
      <c r="E9" s="14" t="s">
        <v>25</v>
      </c>
      <c r="F9" s="15"/>
      <c r="G9" s="14" t="n">
        <v>0</v>
      </c>
      <c r="H9" s="15"/>
      <c r="I9" s="14" t="n">
        <v>30</v>
      </c>
      <c r="J9" s="15"/>
      <c r="K9" s="14" t="s">
        <v>26</v>
      </c>
      <c r="L9" s="15"/>
      <c r="M9" s="14" t="n">
        <v>61.89919</v>
      </c>
      <c r="N9" s="17" t="n">
        <v>1240</v>
      </c>
      <c r="P9" s="17" t="s">
        <v>24</v>
      </c>
      <c r="Q9" s="17" t="s">
        <v>15</v>
      </c>
      <c r="R9" s="14" t="n">
        <v>1222.011</v>
      </c>
      <c r="S9" s="18" t="n">
        <v>211.3537</v>
      </c>
      <c r="T9" s="14" t="n">
        <v>0</v>
      </c>
      <c r="U9" s="18" t="n">
        <v>0</v>
      </c>
      <c r="V9" s="14" t="n">
        <v>28.8338</v>
      </c>
      <c r="W9" s="18" t="n">
        <v>60.46983</v>
      </c>
      <c r="X9" s="14" t="n">
        <v>130.3989</v>
      </c>
      <c r="Y9" s="18" t="n">
        <v>182.5472</v>
      </c>
      <c r="Z9" s="14" t="n">
        <v>58.75623</v>
      </c>
      <c r="AA9" s="18" t="n">
        <v>64.51711</v>
      </c>
      <c r="AB9" s="13" t="n">
        <v>361</v>
      </c>
      <c r="AD9" s="0" t="e">
        <f aca="false">(E9-R9)/SQRT((#REF!*#REF!/N9)+(S9*S9/AB9))</f>
        <v>#VALUE!</v>
      </c>
      <c r="AE9" s="0" t="e">
        <f aca="false">(M9-Z9)/SQRT((#REF!*#REF!/N9)+(AA9*AA9/AB9))</f>
        <v>#REF!</v>
      </c>
      <c r="AF9" s="0" t="n">
        <v>0</v>
      </c>
      <c r="AG9" s="0" t="e">
        <f aca="false">(I9-V9)/(SQRT((#REF!*#REF!/N9)+(W9*W9/AB9)))</f>
        <v>#REF!</v>
      </c>
      <c r="AH9" s="0" t="e">
        <f aca="false">(K9-X9)/(SQRT((#REF!*#REF!/N9)+(Y9*Y9/AB9)))</f>
        <v>#VALUE!</v>
      </c>
    </row>
    <row r="10" customFormat="false" ht="13" hidden="false" customHeight="false" outlineLevel="0" collapsed="false">
      <c r="C10" s="7"/>
      <c r="D10" s="7" t="s">
        <v>19</v>
      </c>
      <c r="E10" s="11" t="n">
        <v>900.1928</v>
      </c>
      <c r="F10" s="19"/>
      <c r="G10" s="11" t="s">
        <v>27</v>
      </c>
      <c r="H10" s="19"/>
      <c r="I10" s="11" t="s">
        <v>28</v>
      </c>
      <c r="J10" s="19"/>
      <c r="K10" s="11" t="s">
        <v>29</v>
      </c>
      <c r="L10" s="19"/>
      <c r="M10" s="11" t="n">
        <v>70.40086</v>
      </c>
      <c r="N10" s="10" t="n">
        <v>7716</v>
      </c>
      <c r="P10" s="10"/>
      <c r="Q10" s="10" t="s">
        <v>19</v>
      </c>
      <c r="R10" s="11" t="n">
        <v>902.5758</v>
      </c>
      <c r="S10" s="12" t="n">
        <v>359.7415</v>
      </c>
      <c r="T10" s="11" t="n">
        <v>338.4018</v>
      </c>
      <c r="U10" s="12" t="n">
        <v>366.871</v>
      </c>
      <c r="V10" s="11" t="n">
        <v>19.76791</v>
      </c>
      <c r="W10" s="12" t="n">
        <v>59.34432</v>
      </c>
      <c r="X10" s="11" t="n">
        <v>110.1095</v>
      </c>
      <c r="Y10" s="12" t="n">
        <v>188.5577</v>
      </c>
      <c r="Z10" s="11" t="n">
        <v>69.14505</v>
      </c>
      <c r="AA10" s="12" t="n">
        <v>70.62894</v>
      </c>
      <c r="AB10" s="7" t="n">
        <v>2275</v>
      </c>
      <c r="AD10" s="0" t="e">
        <f aca="false">(E10-R10)/SQRT((#REF!*#REF!/N10)+(S10*S10/AB10))</f>
        <v>#REF!</v>
      </c>
      <c r="AE10" s="0" t="e">
        <f aca="false">(M10-Z10)/SQRT((#REF!*#REF!/N10)+(AA10*AA10/AB10))</f>
        <v>#REF!</v>
      </c>
      <c r="AF10" s="0" t="e">
        <f aca="false">(G10-T10)/(SQRT((U10*U10/AB10)+(#REF!*#REF!/N10)))</f>
        <v>#VALUE!</v>
      </c>
      <c r="AG10" s="0" t="e">
        <f aca="false">(I10-V10)/(SQRT((#REF!*#REF!/N10)+(W10*W10/AB10)))</f>
        <v>#VALUE!</v>
      </c>
      <c r="AH10" s="0" t="e">
        <f aca="false">(K10-X10)/(SQRT((#REF!*#REF!/N10)+(Y10*Y10/AB10)))</f>
        <v>#VALUE!</v>
      </c>
    </row>
    <row r="12" customFormat="false" ht="13" hidden="false" customHeight="false" outlineLevel="0" collapsed="false">
      <c r="G12" s="1"/>
      <c r="H12" s="1"/>
    </row>
    <row r="13" customFormat="false" ht="13" hidden="false" customHeight="false" outlineLevel="0" collapsed="false">
      <c r="G13" s="1" t="s">
        <v>30</v>
      </c>
      <c r="H13" s="1"/>
    </row>
    <row r="15" customFormat="false" ht="13" hidden="false" customHeight="false" outlineLevel="0" collapsed="false">
      <c r="C15" s="2" t="n">
        <v>1990</v>
      </c>
      <c r="D15" s="3"/>
      <c r="E15" s="4" t="s">
        <v>1</v>
      </c>
      <c r="F15" s="5"/>
      <c r="G15" s="4" t="s">
        <v>2</v>
      </c>
      <c r="H15" s="5"/>
      <c r="I15" s="4" t="s">
        <v>3</v>
      </c>
      <c r="J15" s="5"/>
      <c r="K15" s="4" t="s">
        <v>4</v>
      </c>
      <c r="L15" s="5"/>
      <c r="M15" s="4" t="s">
        <v>5</v>
      </c>
      <c r="N15" s="2" t="s">
        <v>6</v>
      </c>
    </row>
    <row r="16" customFormat="false" ht="13" hidden="false" customHeight="false" outlineLevel="0" collapsed="false">
      <c r="C16" s="10"/>
      <c r="D16" s="10"/>
      <c r="E16" s="11" t="s">
        <v>12</v>
      </c>
      <c r="F16" s="19"/>
      <c r="G16" s="11" t="s">
        <v>12</v>
      </c>
      <c r="H16" s="19"/>
      <c r="I16" s="11" t="s">
        <v>12</v>
      </c>
      <c r="J16" s="19"/>
      <c r="K16" s="11" t="s">
        <v>12</v>
      </c>
      <c r="L16" s="19"/>
      <c r="M16" s="11" t="s">
        <v>12</v>
      </c>
      <c r="N16" s="7"/>
    </row>
    <row r="17" customFormat="false" ht="13" hidden="false" customHeight="false" outlineLevel="0" collapsed="false">
      <c r="C17" s="20" t="s">
        <v>14</v>
      </c>
      <c r="D17" s="16" t="s">
        <v>15</v>
      </c>
      <c r="E17" s="20" t="n">
        <v>1220</v>
      </c>
      <c r="F17" s="21"/>
      <c r="G17" s="20" t="n">
        <v>0</v>
      </c>
      <c r="H17" s="21"/>
      <c r="I17" s="20" t="n">
        <v>35.22353</v>
      </c>
      <c r="J17" s="21"/>
      <c r="K17" s="20" t="n">
        <v>126.6127</v>
      </c>
      <c r="L17" s="21"/>
      <c r="M17" s="20" t="n">
        <v>58.07843</v>
      </c>
      <c r="N17" s="22" t="n">
        <v>1020</v>
      </c>
    </row>
    <row r="18" customFormat="false" ht="13" hidden="false" customHeight="false" outlineLevel="0" collapsed="false">
      <c r="C18" s="14"/>
      <c r="D18" s="17" t="s">
        <v>19</v>
      </c>
      <c r="E18" s="14" t="n">
        <v>928.2832</v>
      </c>
      <c r="F18" s="15"/>
      <c r="G18" s="14" t="n">
        <v>284.3471</v>
      </c>
      <c r="H18" s="15"/>
      <c r="I18" s="14" t="n">
        <v>30</v>
      </c>
      <c r="J18" s="15"/>
      <c r="K18" s="14" t="n">
        <v>131.8686</v>
      </c>
      <c r="L18" s="15"/>
      <c r="M18" s="14" t="n">
        <v>65.39724</v>
      </c>
      <c r="N18" s="23" t="n">
        <v>2535</v>
      </c>
    </row>
    <row r="19" customFormat="false" ht="13" hidden="false" customHeight="false" outlineLevel="0" collapsed="false">
      <c r="C19" s="14"/>
      <c r="D19" s="17"/>
      <c r="E19" s="14"/>
      <c r="F19" s="15"/>
      <c r="G19" s="14"/>
      <c r="H19" s="15"/>
      <c r="I19" s="14"/>
      <c r="J19" s="15"/>
      <c r="K19" s="14"/>
      <c r="L19" s="15"/>
      <c r="M19" s="14"/>
      <c r="N19" s="23"/>
    </row>
    <row r="20" customFormat="false" ht="13" hidden="false" customHeight="false" outlineLevel="0" collapsed="false">
      <c r="C20" s="14" t="s">
        <v>24</v>
      </c>
      <c r="D20" s="17" t="s">
        <v>15</v>
      </c>
      <c r="E20" s="14" t="n">
        <v>1222.011</v>
      </c>
      <c r="F20" s="15"/>
      <c r="G20" s="14" t="n">
        <v>0</v>
      </c>
      <c r="H20" s="15"/>
      <c r="I20" s="14" t="n">
        <v>28.8338</v>
      </c>
      <c r="J20" s="15"/>
      <c r="K20" s="14" t="n">
        <v>130.3989</v>
      </c>
      <c r="L20" s="15"/>
      <c r="M20" s="14" t="n">
        <v>58.75623</v>
      </c>
      <c r="N20" s="23" t="n">
        <v>361</v>
      </c>
    </row>
    <row r="21" customFormat="false" ht="13" hidden="false" customHeight="false" outlineLevel="0" collapsed="false">
      <c r="C21" s="11"/>
      <c r="D21" s="10" t="s">
        <v>19</v>
      </c>
      <c r="E21" s="11" t="n">
        <v>902.5758</v>
      </c>
      <c r="F21" s="19"/>
      <c r="G21" s="11" t="n">
        <v>338.4018</v>
      </c>
      <c r="H21" s="19"/>
      <c r="I21" s="11" t="n">
        <v>19.76791</v>
      </c>
      <c r="J21" s="19"/>
      <c r="K21" s="11" t="n">
        <v>110.1095</v>
      </c>
      <c r="L21" s="19"/>
      <c r="M21" s="11" t="n">
        <v>69.14505</v>
      </c>
      <c r="N21" s="24" t="n">
        <v>2275</v>
      </c>
    </row>
    <row r="25" customFormat="false" ht="13" hidden="false" customHeight="false" outlineLevel="0" collapsed="false">
      <c r="E25" s="25" t="s">
        <v>31</v>
      </c>
      <c r="F25" s="25"/>
    </row>
    <row r="37" customFormat="false" ht="13" hidden="false" customHeight="false" outlineLevel="0" collapsed="false"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customFormat="false" ht="13" hidden="false" customHeight="false" outlineLevel="0" collapsed="false"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customFormat="false" ht="13" hidden="false" customHeight="false" outlineLevel="0" collapsed="false">
      <c r="C39" s="26"/>
      <c r="D39" s="26"/>
      <c r="E39" s="27" t="s">
        <v>32</v>
      </c>
      <c r="F39" s="27"/>
      <c r="G39" s="26"/>
      <c r="H39" s="26"/>
      <c r="I39" s="26"/>
      <c r="J39" s="26"/>
      <c r="K39" s="26"/>
      <c r="L39" s="26"/>
      <c r="M39" s="26"/>
      <c r="N39" s="26"/>
    </row>
    <row r="40" customFormat="false" ht="13" hidden="false" customHeight="false" outlineLevel="0" collapsed="false"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customFormat="false" ht="13" hidden="false" customHeight="false" outlineLevel="0" collapsed="false"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customFormat="false" ht="13" hidden="false" customHeight="false" outlineLevel="0" collapsed="false">
      <c r="C42" s="26"/>
      <c r="D42" s="26"/>
      <c r="E42" s="26"/>
      <c r="F42" s="26"/>
      <c r="G42" s="28"/>
      <c r="H42" s="28"/>
      <c r="I42" s="26"/>
      <c r="J42" s="26"/>
      <c r="K42" s="26"/>
      <c r="L42" s="26"/>
      <c r="M42" s="26"/>
      <c r="N42" s="26"/>
    </row>
    <row r="43" customFormat="false" ht="13" hidden="false" customHeight="false" outlineLevel="0" collapsed="false">
      <c r="C43" s="26"/>
      <c r="D43" s="26"/>
      <c r="E43" s="26"/>
      <c r="F43" s="26"/>
      <c r="G43" s="28" t="s">
        <v>0</v>
      </c>
      <c r="H43" s="28"/>
      <c r="I43" s="26"/>
      <c r="J43" s="26"/>
      <c r="K43" s="26"/>
      <c r="L43" s="26"/>
      <c r="M43" s="26"/>
      <c r="N43" s="26"/>
    </row>
    <row r="44" customFormat="false" ht="13" hidden="false" customHeight="false" outlineLevel="0" collapsed="false"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customFormat="false" ht="13" hidden="false" customHeight="false" outlineLevel="0" collapsed="false">
      <c r="C45" s="29" t="s">
        <v>33</v>
      </c>
      <c r="D45" s="29"/>
      <c r="E45" s="30" t="s">
        <v>34</v>
      </c>
      <c r="F45" s="31"/>
      <c r="G45" s="30" t="s">
        <v>35</v>
      </c>
      <c r="H45" s="31"/>
      <c r="I45" s="30" t="s">
        <v>36</v>
      </c>
      <c r="J45" s="31"/>
      <c r="K45" s="30" t="s">
        <v>37</v>
      </c>
      <c r="L45" s="31"/>
      <c r="M45" s="30" t="s">
        <v>5</v>
      </c>
      <c r="N45" s="29" t="s">
        <v>6</v>
      </c>
    </row>
    <row r="46" customFormat="false" ht="13" hidden="false" customHeight="false" outlineLevel="0" collapsed="false">
      <c r="C46" s="32"/>
      <c r="D46" s="32"/>
      <c r="E46" s="33" t="s">
        <v>12</v>
      </c>
      <c r="F46" s="34"/>
      <c r="G46" s="33" t="s">
        <v>12</v>
      </c>
      <c r="H46" s="34"/>
      <c r="I46" s="33" t="s">
        <v>12</v>
      </c>
      <c r="J46" s="34"/>
      <c r="K46" s="33" t="s">
        <v>12</v>
      </c>
      <c r="L46" s="34"/>
      <c r="M46" s="33" t="s">
        <v>12</v>
      </c>
      <c r="N46" s="32"/>
    </row>
    <row r="47" customFormat="false" ht="13" hidden="false" customHeight="false" outlineLevel="0" collapsed="false">
      <c r="C47" s="35" t="s">
        <v>38</v>
      </c>
      <c r="D47" s="35" t="s">
        <v>15</v>
      </c>
      <c r="E47" s="36" t="n">
        <v>1172</v>
      </c>
      <c r="F47" s="37" t="s">
        <v>39</v>
      </c>
      <c r="G47" s="36" t="n">
        <v>0</v>
      </c>
      <c r="H47" s="37"/>
      <c r="I47" s="36" t="n">
        <v>42</v>
      </c>
      <c r="J47" s="37" t="s">
        <v>39</v>
      </c>
      <c r="K47" s="38" t="n">
        <v>166</v>
      </c>
      <c r="L47" s="39" t="s">
        <v>39</v>
      </c>
      <c r="M47" s="38" t="n">
        <v>59.83357</v>
      </c>
      <c r="N47" s="40" t="n">
        <v>2812</v>
      </c>
    </row>
    <row r="48" customFormat="false" ht="13" hidden="false" customHeight="false" outlineLevel="0" collapsed="false">
      <c r="C48" s="35"/>
      <c r="D48" s="35" t="s">
        <v>19</v>
      </c>
      <c r="E48" s="38" t="n">
        <v>944</v>
      </c>
      <c r="F48" s="41" t="s">
        <v>39</v>
      </c>
      <c r="G48" s="38" t="n">
        <v>313</v>
      </c>
      <c r="H48" s="41" t="s">
        <v>39</v>
      </c>
      <c r="I48" s="38" t="n">
        <v>25</v>
      </c>
      <c r="J48" s="41" t="s">
        <v>39</v>
      </c>
      <c r="K48" s="38" t="n">
        <v>93</v>
      </c>
      <c r="L48" s="39" t="s">
        <v>39</v>
      </c>
      <c r="M48" s="38" t="n">
        <v>64.88745</v>
      </c>
      <c r="N48" s="42" t="n">
        <v>8014</v>
      </c>
    </row>
    <row r="49" customFormat="false" ht="13" hidden="false" customHeight="false" outlineLevel="0" collapsed="false">
      <c r="C49" s="36" t="s">
        <v>40</v>
      </c>
      <c r="D49" s="40" t="s">
        <v>15</v>
      </c>
      <c r="E49" s="36" t="n">
        <v>1220</v>
      </c>
      <c r="F49" s="43"/>
      <c r="G49" s="36" t="n">
        <v>0</v>
      </c>
      <c r="H49" s="43"/>
      <c r="I49" s="36" t="n">
        <v>35.22353</v>
      </c>
      <c r="J49" s="43"/>
      <c r="K49" s="36" t="n">
        <v>126.6127</v>
      </c>
      <c r="L49" s="43"/>
      <c r="M49" s="36" t="n">
        <v>58.07843</v>
      </c>
      <c r="N49" s="44" t="n">
        <v>1020</v>
      </c>
    </row>
    <row r="50" customFormat="false" ht="13" hidden="false" customHeight="false" outlineLevel="0" collapsed="false">
      <c r="C50" s="45"/>
      <c r="D50" s="46" t="s">
        <v>19</v>
      </c>
      <c r="E50" s="45" t="n">
        <v>928.2832</v>
      </c>
      <c r="F50" s="47"/>
      <c r="G50" s="45" t="n">
        <v>284.3471</v>
      </c>
      <c r="H50" s="47"/>
      <c r="I50" s="45" t="n">
        <v>30</v>
      </c>
      <c r="J50" s="47"/>
      <c r="K50" s="45" t="n">
        <v>131.8686</v>
      </c>
      <c r="L50" s="47"/>
      <c r="M50" s="45" t="n">
        <v>65.39724</v>
      </c>
      <c r="N50" s="48" t="n">
        <v>2535</v>
      </c>
    </row>
    <row r="51" customFormat="false" ht="13" hidden="false" customHeight="false" outlineLevel="0" collapsed="false"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customFormat="false" ht="13" hidden="false" customHeight="false" outlineLevel="0" collapsed="false">
      <c r="C52" s="26"/>
      <c r="D52" s="26"/>
      <c r="E52" s="26"/>
      <c r="F52" s="26"/>
      <c r="G52" s="28"/>
      <c r="H52" s="28"/>
      <c r="I52" s="26"/>
      <c r="J52" s="26"/>
      <c r="K52" s="26"/>
      <c r="L52" s="26"/>
      <c r="M52" s="26"/>
      <c r="N52" s="26"/>
    </row>
    <row r="53" customFormat="false" ht="13" hidden="false" customHeight="false" outlineLevel="0" collapsed="false">
      <c r="C53" s="26"/>
      <c r="D53" s="26"/>
      <c r="E53" s="26"/>
      <c r="F53" s="26"/>
      <c r="G53" s="28"/>
      <c r="H53" s="28"/>
      <c r="I53" s="26"/>
      <c r="J53" s="26"/>
      <c r="K53" s="26"/>
      <c r="L53" s="26"/>
      <c r="M53" s="26"/>
      <c r="N53" s="26"/>
    </row>
    <row r="54" customFormat="false" ht="13" hidden="false" customHeight="false" outlineLevel="0" collapsed="false">
      <c r="C54" s="3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44"/>
    </row>
    <row r="55" customFormat="false" ht="13" hidden="false" customHeight="false" outlineLevel="0" collapsed="false">
      <c r="C55" s="29"/>
      <c r="D55" s="29"/>
      <c r="E55" s="30"/>
      <c r="F55" s="31"/>
      <c r="G55" s="30"/>
      <c r="H55" s="31"/>
      <c r="I55" s="30"/>
      <c r="J55" s="31"/>
      <c r="K55" s="30"/>
      <c r="L55" s="31"/>
      <c r="M55" s="30"/>
      <c r="N55" s="29"/>
    </row>
    <row r="56" customFormat="false" ht="13" hidden="false" customHeight="false" outlineLevel="0" collapsed="false">
      <c r="C56" s="46"/>
      <c r="D56" s="46"/>
      <c r="E56" s="45"/>
      <c r="F56" s="47"/>
      <c r="G56" s="45"/>
      <c r="H56" s="47"/>
      <c r="I56" s="45"/>
      <c r="J56" s="47"/>
      <c r="K56" s="45"/>
      <c r="L56" s="47"/>
      <c r="M56" s="45"/>
      <c r="N56" s="32"/>
    </row>
    <row r="57" customFormat="false" ht="13" hidden="false" customHeight="false" outlineLevel="0" collapsed="false">
      <c r="C57" s="36"/>
      <c r="D57" s="40"/>
      <c r="E57" s="36"/>
      <c r="F57" s="43"/>
      <c r="G57" s="36"/>
      <c r="H57" s="43"/>
      <c r="I57" s="36"/>
      <c r="J57" s="43"/>
      <c r="K57" s="36"/>
      <c r="L57" s="43"/>
      <c r="M57" s="36"/>
      <c r="N57" s="44"/>
    </row>
    <row r="58" customFormat="false" ht="13" hidden="false" customHeight="false" outlineLevel="0" collapsed="false">
      <c r="C58" s="38"/>
      <c r="D58" s="42"/>
      <c r="E58" s="38"/>
      <c r="F58" s="39"/>
      <c r="G58" s="38"/>
      <c r="H58" s="39"/>
      <c r="I58" s="38"/>
      <c r="J58" s="39"/>
      <c r="K58" s="38"/>
      <c r="L58" s="39"/>
      <c r="M58" s="38"/>
      <c r="N58" s="49"/>
    </row>
    <row r="59" customFormat="false" ht="13" hidden="false" customHeight="false" outlineLevel="0" collapsed="false">
      <c r="C59" s="38"/>
      <c r="D59" s="42"/>
      <c r="E59" s="38"/>
      <c r="F59" s="39"/>
      <c r="G59" s="38"/>
      <c r="H59" s="39"/>
      <c r="I59" s="38"/>
      <c r="J59" s="39"/>
      <c r="K59" s="38"/>
      <c r="L59" s="39"/>
      <c r="M59" s="38"/>
      <c r="N59" s="49"/>
    </row>
    <row r="60" customFormat="false" ht="13" hidden="false" customHeight="false" outlineLevel="0" collapsed="false">
      <c r="C60" s="38"/>
      <c r="D60" s="42"/>
      <c r="E60" s="38"/>
      <c r="F60" s="39"/>
      <c r="G60" s="38"/>
      <c r="H60" s="39"/>
      <c r="I60" s="38"/>
      <c r="J60" s="39"/>
      <c r="K60" s="38"/>
      <c r="L60" s="39"/>
      <c r="M60" s="38"/>
      <c r="N60" s="49"/>
    </row>
    <row r="61" customFormat="false" ht="13" hidden="false" customHeight="false" outlineLevel="0" collapsed="false">
      <c r="C61" s="45"/>
      <c r="D61" s="46"/>
      <c r="E61" s="45"/>
      <c r="F61" s="47"/>
      <c r="G61" s="45"/>
      <c r="H61" s="47"/>
      <c r="I61" s="45"/>
      <c r="J61" s="47"/>
      <c r="K61" s="45"/>
      <c r="L61" s="47"/>
      <c r="M61" s="45"/>
      <c r="N61" s="48"/>
    </row>
    <row r="62" customFormat="false" ht="13" hidden="false" customHeight="false" outlineLevel="0" collapsed="false"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customFormat="false" ht="13" hidden="false" customHeight="false" outlineLevel="0" collapsed="false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customFormat="false" ht="13" hidden="false" customHeight="false" outlineLevel="0" collapsed="false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5" customFormat="false" ht="13" hidden="false" customHeight="false" outlineLevel="0" collapsed="false">
      <c r="C65" s="26"/>
      <c r="D65" s="26"/>
      <c r="E65" s="50" t="s">
        <v>41</v>
      </c>
      <c r="F65" s="50"/>
      <c r="G65" s="26"/>
      <c r="H65" s="26"/>
      <c r="I65" s="26"/>
      <c r="J65" s="26"/>
      <c r="K65" s="26"/>
      <c r="L65" s="26"/>
      <c r="M65" s="26"/>
      <c r="N65" s="26"/>
    </row>
    <row r="66" customFormat="false" ht="13" hidden="false" customHeight="false" outlineLevel="0" collapsed="false"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</row>
    <row r="67" customFormat="false" ht="13" hidden="false" customHeight="false" outlineLevel="0" collapsed="false"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</row>
    <row r="68" customFormat="false" ht="13" hidden="false" customHeight="false" outlineLevel="0" collapsed="false">
      <c r="C68" s="29" t="s">
        <v>33</v>
      </c>
      <c r="D68" s="29"/>
      <c r="E68" s="30" t="s">
        <v>34</v>
      </c>
      <c r="F68" s="31"/>
      <c r="G68" s="30" t="s">
        <v>35</v>
      </c>
      <c r="H68" s="31"/>
      <c r="I68" s="30" t="s">
        <v>36</v>
      </c>
      <c r="J68" s="31"/>
      <c r="K68" s="30" t="s">
        <v>37</v>
      </c>
      <c r="L68" s="31"/>
      <c r="M68" s="30" t="s">
        <v>5</v>
      </c>
      <c r="N68" s="29" t="s">
        <v>6</v>
      </c>
    </row>
    <row r="69" customFormat="false" ht="13" hidden="false" customHeight="false" outlineLevel="0" collapsed="false">
      <c r="C69" s="32"/>
      <c r="D69" s="32"/>
      <c r="E69" s="33" t="s">
        <v>12</v>
      </c>
      <c r="F69" s="34"/>
      <c r="G69" s="33" t="s">
        <v>12</v>
      </c>
      <c r="H69" s="34"/>
      <c r="I69" s="33" t="s">
        <v>12</v>
      </c>
      <c r="J69" s="34"/>
      <c r="K69" s="33" t="s">
        <v>12</v>
      </c>
      <c r="L69" s="34"/>
      <c r="M69" s="33" t="s">
        <v>12</v>
      </c>
      <c r="N69" s="32"/>
    </row>
    <row r="70" customFormat="false" ht="13" hidden="false" customHeight="false" outlineLevel="0" collapsed="false">
      <c r="C70" s="35" t="s">
        <v>38</v>
      </c>
      <c r="D70" s="35" t="s">
        <v>15</v>
      </c>
      <c r="E70" s="36" t="n">
        <v>1172</v>
      </c>
      <c r="F70" s="37" t="s">
        <v>39</v>
      </c>
      <c r="G70" s="36" t="n">
        <v>0</v>
      </c>
      <c r="H70" s="37"/>
      <c r="I70" s="36" t="n">
        <v>42</v>
      </c>
      <c r="J70" s="37" t="s">
        <v>39</v>
      </c>
      <c r="K70" s="38" t="n">
        <v>166</v>
      </c>
      <c r="L70" s="39" t="s">
        <v>39</v>
      </c>
      <c r="M70" s="38" t="n">
        <v>59.83357</v>
      </c>
      <c r="N70" s="40" t="n">
        <v>2812</v>
      </c>
    </row>
    <row r="71" customFormat="false" ht="13" hidden="false" customHeight="false" outlineLevel="0" collapsed="false">
      <c r="C71" s="35"/>
      <c r="D71" s="35" t="s">
        <v>19</v>
      </c>
      <c r="E71" s="38" t="n">
        <v>944</v>
      </c>
      <c r="F71" s="41" t="s">
        <v>39</v>
      </c>
      <c r="G71" s="38" t="n">
        <v>313</v>
      </c>
      <c r="H71" s="41" t="s">
        <v>39</v>
      </c>
      <c r="I71" s="38" t="n">
        <v>25</v>
      </c>
      <c r="J71" s="41" t="s">
        <v>39</v>
      </c>
      <c r="K71" s="38" t="n">
        <v>93</v>
      </c>
      <c r="L71" s="39" t="s">
        <v>39</v>
      </c>
      <c r="M71" s="38" t="n">
        <v>64.88745</v>
      </c>
      <c r="N71" s="42" t="n">
        <v>8014</v>
      </c>
    </row>
    <row r="72" customFormat="false" ht="13" hidden="false" customHeight="false" outlineLevel="0" collapsed="false">
      <c r="C72" s="35"/>
      <c r="D72" s="35"/>
      <c r="E72" s="38"/>
      <c r="F72" s="41"/>
      <c r="G72" s="38"/>
      <c r="H72" s="41"/>
      <c r="I72" s="38"/>
      <c r="J72" s="41"/>
      <c r="K72" s="38"/>
      <c r="L72" s="39"/>
      <c r="M72" s="38"/>
      <c r="N72" s="42"/>
    </row>
    <row r="73" customFormat="false" ht="13" hidden="false" customHeight="false" outlineLevel="0" collapsed="false">
      <c r="C73" s="35" t="s">
        <v>24</v>
      </c>
      <c r="D73" s="35" t="s">
        <v>15</v>
      </c>
      <c r="E73" s="38" t="n">
        <v>1171</v>
      </c>
      <c r="F73" s="41" t="s">
        <v>39</v>
      </c>
      <c r="G73" s="38" t="n">
        <v>0</v>
      </c>
      <c r="H73" s="41"/>
      <c r="I73" s="38" t="n">
        <v>30</v>
      </c>
      <c r="J73" s="41"/>
      <c r="K73" s="38" t="n">
        <v>177</v>
      </c>
      <c r="L73" s="39" t="s">
        <v>39</v>
      </c>
      <c r="M73" s="38" t="n">
        <v>61.89919</v>
      </c>
      <c r="N73" s="42" t="n">
        <v>1240</v>
      </c>
    </row>
    <row r="74" customFormat="false" ht="13" hidden="false" customHeight="false" outlineLevel="0" collapsed="false">
      <c r="C74" s="32"/>
      <c r="D74" s="32" t="s">
        <v>19</v>
      </c>
      <c r="E74" s="45" t="n">
        <v>900.1928</v>
      </c>
      <c r="F74" s="51"/>
      <c r="G74" s="45" t="n">
        <v>365</v>
      </c>
      <c r="H74" s="51" t="s">
        <v>39</v>
      </c>
      <c r="I74" s="45" t="n">
        <v>15</v>
      </c>
      <c r="J74" s="51" t="s">
        <v>39</v>
      </c>
      <c r="K74" s="45" t="n">
        <v>90</v>
      </c>
      <c r="L74" s="47" t="s">
        <v>39</v>
      </c>
      <c r="M74" s="45" t="n">
        <v>70.40086</v>
      </c>
      <c r="N74" s="46" t="n">
        <v>7716</v>
      </c>
    </row>
    <row r="75" customFormat="false" ht="13" hidden="false" customHeight="false" outlineLevel="0" collapsed="false"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</row>
    <row r="78" customFormat="false" ht="13" hidden="false" customHeight="false" outlineLevel="0" collapsed="false">
      <c r="C78" s="26"/>
      <c r="D78" s="26"/>
      <c r="E78" s="26"/>
      <c r="F78" s="26"/>
      <c r="G78" s="28" t="s">
        <v>42</v>
      </c>
      <c r="H78" s="28"/>
      <c r="I78" s="26"/>
      <c r="J78" s="26"/>
      <c r="K78" s="26"/>
      <c r="L78" s="26"/>
      <c r="M78" s="26"/>
      <c r="N78" s="26"/>
    </row>
    <row r="79" customFormat="false" ht="13" hidden="false" customHeight="false" outlineLevel="0" collapsed="false"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customFormat="false" ht="13" hidden="false" customHeight="false" outlineLevel="0" collapsed="false">
      <c r="C80" s="29" t="n">
        <v>1990</v>
      </c>
      <c r="D80" s="29"/>
      <c r="E80" s="30" t="s">
        <v>1</v>
      </c>
      <c r="F80" s="31"/>
      <c r="G80" s="30" t="s">
        <v>2</v>
      </c>
      <c r="H80" s="31"/>
      <c r="I80" s="30" t="s">
        <v>3</v>
      </c>
      <c r="J80" s="31"/>
      <c r="K80" s="30" t="s">
        <v>4</v>
      </c>
      <c r="L80" s="31"/>
      <c r="M80" s="30" t="s">
        <v>5</v>
      </c>
      <c r="N80" s="29" t="s">
        <v>6</v>
      </c>
    </row>
    <row r="81" customFormat="false" ht="13" hidden="false" customHeight="false" outlineLevel="0" collapsed="false">
      <c r="C81" s="46"/>
      <c r="D81" s="46"/>
      <c r="E81" s="45" t="s">
        <v>12</v>
      </c>
      <c r="F81" s="47"/>
      <c r="G81" s="45" t="s">
        <v>12</v>
      </c>
      <c r="H81" s="47"/>
      <c r="I81" s="45" t="s">
        <v>12</v>
      </c>
      <c r="J81" s="47"/>
      <c r="K81" s="45" t="s">
        <v>12</v>
      </c>
      <c r="L81" s="47"/>
      <c r="M81" s="45" t="s">
        <v>12</v>
      </c>
      <c r="N81" s="32"/>
    </row>
    <row r="82" customFormat="false" ht="13" hidden="false" customHeight="false" outlineLevel="0" collapsed="false">
      <c r="C82" s="36" t="s">
        <v>14</v>
      </c>
      <c r="D82" s="40" t="s">
        <v>15</v>
      </c>
      <c r="E82" s="36" t="n">
        <v>1220</v>
      </c>
      <c r="F82" s="43"/>
      <c r="G82" s="36" t="n">
        <v>0</v>
      </c>
      <c r="H82" s="43"/>
      <c r="I82" s="36" t="n">
        <v>35.22353</v>
      </c>
      <c r="J82" s="43"/>
      <c r="K82" s="36" t="n">
        <v>126.6127</v>
      </c>
      <c r="L82" s="43"/>
      <c r="M82" s="36" t="n">
        <v>58.07843</v>
      </c>
      <c r="N82" s="44" t="n">
        <v>1020</v>
      </c>
    </row>
    <row r="83" customFormat="false" ht="13" hidden="false" customHeight="false" outlineLevel="0" collapsed="false">
      <c r="C83" s="38"/>
      <c r="D83" s="42" t="s">
        <v>19</v>
      </c>
      <c r="E83" s="38" t="n">
        <v>928.2832</v>
      </c>
      <c r="F83" s="39"/>
      <c r="G83" s="38" t="n">
        <v>284.3471</v>
      </c>
      <c r="H83" s="39"/>
      <c r="I83" s="38" t="n">
        <v>30</v>
      </c>
      <c r="J83" s="39"/>
      <c r="K83" s="38" t="n">
        <v>131.8686</v>
      </c>
      <c r="L83" s="39"/>
      <c r="M83" s="38" t="n">
        <v>65.39724</v>
      </c>
      <c r="N83" s="49" t="n">
        <v>2535</v>
      </c>
    </row>
    <row r="84" customFormat="false" ht="13" hidden="false" customHeight="false" outlineLevel="0" collapsed="false">
      <c r="C84" s="38"/>
      <c r="D84" s="42"/>
      <c r="E84" s="38"/>
      <c r="F84" s="39"/>
      <c r="G84" s="38"/>
      <c r="H84" s="39"/>
      <c r="I84" s="38"/>
      <c r="J84" s="39"/>
      <c r="K84" s="38"/>
      <c r="L84" s="39"/>
      <c r="M84" s="38"/>
      <c r="N84" s="49"/>
    </row>
    <row r="85" customFormat="false" ht="13" hidden="false" customHeight="false" outlineLevel="0" collapsed="false">
      <c r="C85" s="38" t="s">
        <v>24</v>
      </c>
      <c r="D85" s="42" t="s">
        <v>15</v>
      </c>
      <c r="E85" s="38" t="n">
        <v>1222.011</v>
      </c>
      <c r="F85" s="39"/>
      <c r="G85" s="38" t="n">
        <v>0</v>
      </c>
      <c r="H85" s="39"/>
      <c r="I85" s="38" t="n">
        <v>28.8338</v>
      </c>
      <c r="J85" s="39"/>
      <c r="K85" s="38" t="n">
        <v>130.3989</v>
      </c>
      <c r="L85" s="39"/>
      <c r="M85" s="38" t="n">
        <v>58.75623</v>
      </c>
      <c r="N85" s="49" t="n">
        <v>361</v>
      </c>
    </row>
    <row r="86" customFormat="false" ht="13" hidden="false" customHeight="false" outlineLevel="0" collapsed="false">
      <c r="C86" s="45"/>
      <c r="D86" s="46" t="s">
        <v>19</v>
      </c>
      <c r="E86" s="45" t="n">
        <v>902.5758</v>
      </c>
      <c r="F86" s="47"/>
      <c r="G86" s="45" t="n">
        <v>338.4018</v>
      </c>
      <c r="H86" s="47"/>
      <c r="I86" s="45" t="n">
        <v>19.76791</v>
      </c>
      <c r="J86" s="47"/>
      <c r="K86" s="45" t="n">
        <v>110.1095</v>
      </c>
      <c r="L86" s="47"/>
      <c r="M86" s="45" t="n">
        <v>69.14505</v>
      </c>
      <c r="N86" s="48" t="n">
        <v>2275</v>
      </c>
    </row>
    <row r="100" customFormat="false" ht="13" hidden="false" customHeight="false" outlineLevel="0" collapsed="false">
      <c r="C100" s="26"/>
      <c r="D100" s="26"/>
      <c r="E100" s="27" t="s">
        <v>43</v>
      </c>
      <c r="F100" s="27"/>
      <c r="G100" s="26"/>
      <c r="H100" s="26"/>
      <c r="I100" s="26"/>
      <c r="J100" s="26"/>
      <c r="K100" s="26"/>
      <c r="L100" s="26"/>
      <c r="M100" s="26"/>
      <c r="N100" s="26"/>
    </row>
    <row r="101" customFormat="false" ht="13" hidden="false" customHeight="false" outlineLevel="0" collapsed="false"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</row>
    <row r="102" customFormat="false" ht="13" hidden="false" customHeight="false" outlineLevel="0" collapsed="false"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</row>
    <row r="103" customFormat="false" ht="13" hidden="false" customHeight="false" outlineLevel="0" collapsed="false">
      <c r="C103" s="26"/>
      <c r="D103" s="26"/>
      <c r="E103" s="26"/>
      <c r="F103" s="26"/>
      <c r="G103" s="28"/>
      <c r="H103" s="28"/>
      <c r="I103" s="26"/>
      <c r="J103" s="26"/>
      <c r="K103" s="26"/>
      <c r="L103" s="26"/>
      <c r="M103" s="26"/>
      <c r="N103" s="26"/>
    </row>
    <row r="104" customFormat="false" ht="13" hidden="false" customHeight="false" outlineLevel="0" collapsed="false">
      <c r="C104" s="26"/>
      <c r="D104" s="26"/>
      <c r="E104" s="26"/>
      <c r="F104" s="26"/>
      <c r="G104" s="28"/>
      <c r="H104" s="28"/>
      <c r="I104" s="26"/>
      <c r="J104" s="26"/>
      <c r="K104" s="26"/>
      <c r="L104" s="26"/>
      <c r="M104" s="26"/>
      <c r="N104" s="26"/>
    </row>
    <row r="105" customFormat="false" ht="13" hidden="false" customHeight="false" outlineLevel="0" collapsed="false"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</row>
    <row r="106" customFormat="false" ht="13" hidden="false" customHeight="false" outlineLevel="0" collapsed="false">
      <c r="C106" s="29" t="s">
        <v>33</v>
      </c>
      <c r="D106" s="29" t="s">
        <v>44</v>
      </c>
      <c r="E106" s="30" t="s">
        <v>45</v>
      </c>
      <c r="F106" s="31"/>
      <c r="G106" s="30" t="s">
        <v>46</v>
      </c>
      <c r="H106" s="31"/>
      <c r="I106" s="30" t="s">
        <v>47</v>
      </c>
      <c r="J106" s="31"/>
      <c r="K106" s="30" t="s">
        <v>48</v>
      </c>
      <c r="L106" s="31"/>
      <c r="M106" s="30" t="s">
        <v>49</v>
      </c>
      <c r="N106" s="29" t="s">
        <v>50</v>
      </c>
    </row>
    <row r="107" customFormat="false" ht="13" hidden="false" customHeight="false" outlineLevel="0" collapsed="false">
      <c r="C107" s="32"/>
      <c r="D107" s="32"/>
      <c r="E107" s="52"/>
      <c r="F107" s="53"/>
      <c r="G107" s="52"/>
      <c r="H107" s="53"/>
      <c r="I107" s="52"/>
      <c r="J107" s="53"/>
      <c r="K107" s="52"/>
      <c r="L107" s="53"/>
      <c r="M107" s="52"/>
      <c r="N107" s="35"/>
    </row>
    <row r="108" customFormat="false" ht="13" hidden="false" customHeight="false" outlineLevel="0" collapsed="false">
      <c r="C108" s="53" t="s">
        <v>14</v>
      </c>
      <c r="D108" s="29"/>
      <c r="E108" s="21"/>
      <c r="F108" s="54"/>
      <c r="G108" s="20"/>
      <c r="H108" s="54"/>
      <c r="I108" s="20"/>
      <c r="J108" s="54"/>
      <c r="K108" s="20"/>
      <c r="L108" s="54"/>
      <c r="M108" s="16"/>
      <c r="N108" s="16"/>
    </row>
    <row r="109" customFormat="false" ht="13" hidden="false" customHeight="false" outlineLevel="0" collapsed="false">
      <c r="C109" s="35" t="n">
        <v>1995</v>
      </c>
      <c r="D109" s="49" t="s">
        <v>15</v>
      </c>
      <c r="E109" s="21" t="n">
        <v>1172</v>
      </c>
      <c r="F109" s="54" t="s">
        <v>39</v>
      </c>
      <c r="G109" s="20" t="n">
        <v>0</v>
      </c>
      <c r="H109" s="54"/>
      <c r="I109" s="20" t="n">
        <v>42</v>
      </c>
      <c r="J109" s="54" t="s">
        <v>39</v>
      </c>
      <c r="K109" s="20" t="n">
        <v>166</v>
      </c>
      <c r="L109" s="54" t="s">
        <v>39</v>
      </c>
      <c r="M109" s="16" t="n">
        <v>59.83357</v>
      </c>
      <c r="N109" s="16" t="n">
        <v>2812</v>
      </c>
    </row>
    <row r="110" customFormat="false" ht="13" hidden="false" customHeight="false" outlineLevel="0" collapsed="false">
      <c r="C110" s="42" t="n">
        <v>1990</v>
      </c>
      <c r="D110" s="41"/>
      <c r="E110" s="55" t="n">
        <v>1220</v>
      </c>
      <c r="F110" s="56"/>
      <c r="G110" s="57" t="n">
        <v>0</v>
      </c>
      <c r="H110" s="56"/>
      <c r="I110" s="57" t="n">
        <v>35.22353</v>
      </c>
      <c r="J110" s="56"/>
      <c r="K110" s="57" t="n">
        <v>126.6127</v>
      </c>
      <c r="L110" s="56"/>
      <c r="M110" s="58" t="n">
        <v>58.07843</v>
      </c>
      <c r="N110" s="59" t="n">
        <v>1020</v>
      </c>
    </row>
    <row r="111" customFormat="false" ht="13" hidden="false" customHeight="false" outlineLevel="0" collapsed="false">
      <c r="C111" s="35" t="n">
        <v>1995</v>
      </c>
      <c r="D111" s="49" t="s">
        <v>19</v>
      </c>
      <c r="E111" s="55" t="n">
        <v>944</v>
      </c>
      <c r="F111" s="56" t="s">
        <v>39</v>
      </c>
      <c r="G111" s="57" t="n">
        <v>313</v>
      </c>
      <c r="H111" s="56" t="s">
        <v>39</v>
      </c>
      <c r="I111" s="57" t="n">
        <v>25</v>
      </c>
      <c r="J111" s="56" t="s">
        <v>39</v>
      </c>
      <c r="K111" s="57" t="n">
        <v>93</v>
      </c>
      <c r="L111" s="56" t="s">
        <v>39</v>
      </c>
      <c r="M111" s="58" t="n">
        <v>64.88745</v>
      </c>
      <c r="N111" s="58" t="n">
        <v>8014</v>
      </c>
    </row>
    <row r="112" customFormat="false" ht="13" hidden="false" customHeight="false" outlineLevel="0" collapsed="false">
      <c r="C112" s="46" t="n">
        <v>1990</v>
      </c>
      <c r="D112" s="41"/>
      <c r="E112" s="19" t="n">
        <v>928.2832</v>
      </c>
      <c r="F112" s="12"/>
      <c r="G112" s="11" t="n">
        <v>284.3471</v>
      </c>
      <c r="H112" s="12"/>
      <c r="I112" s="11" t="n">
        <v>30</v>
      </c>
      <c r="J112" s="12"/>
      <c r="K112" s="11" t="n">
        <v>131.8686</v>
      </c>
      <c r="L112" s="12"/>
      <c r="M112" s="10" t="n">
        <v>65.39724</v>
      </c>
      <c r="N112" s="24" t="n">
        <v>2535</v>
      </c>
    </row>
    <row r="113" customFormat="false" ht="13" hidden="false" customHeight="false" outlineLevel="0" collapsed="false">
      <c r="C113" s="53" t="s">
        <v>24</v>
      </c>
      <c r="D113" s="35"/>
      <c r="E113" s="55"/>
      <c r="F113" s="56"/>
      <c r="G113" s="57"/>
      <c r="H113" s="56"/>
      <c r="I113" s="57"/>
      <c r="J113" s="56"/>
      <c r="K113" s="57"/>
      <c r="L113" s="56"/>
      <c r="M113" s="58"/>
      <c r="N113" s="58"/>
    </row>
    <row r="114" customFormat="false" ht="13" hidden="false" customHeight="false" outlineLevel="0" collapsed="false">
      <c r="C114" s="53" t="n">
        <v>1995</v>
      </c>
      <c r="D114" s="35" t="s">
        <v>15</v>
      </c>
      <c r="E114" s="55" t="n">
        <v>1171</v>
      </c>
      <c r="F114" s="56" t="s">
        <v>39</v>
      </c>
      <c r="G114" s="57" t="n">
        <v>0</v>
      </c>
      <c r="H114" s="56"/>
      <c r="I114" s="57" t="n">
        <v>30</v>
      </c>
      <c r="J114" s="56"/>
      <c r="K114" s="57" t="n">
        <v>177</v>
      </c>
      <c r="L114" s="56" t="s">
        <v>39</v>
      </c>
      <c r="M114" s="58" t="n">
        <v>61.89919</v>
      </c>
      <c r="N114" s="58" t="n">
        <v>1240</v>
      </c>
    </row>
    <row r="115" customFormat="false" ht="13" hidden="false" customHeight="false" outlineLevel="0" collapsed="false">
      <c r="C115" s="39" t="n">
        <v>1990</v>
      </c>
      <c r="D115" s="42"/>
      <c r="E115" s="55" t="n">
        <v>1222.011</v>
      </c>
      <c r="F115" s="56"/>
      <c r="G115" s="57" t="n">
        <v>0</v>
      </c>
      <c r="H115" s="56"/>
      <c r="I115" s="57" t="n">
        <v>28.8338</v>
      </c>
      <c r="J115" s="56"/>
      <c r="K115" s="57" t="n">
        <v>130.3989</v>
      </c>
      <c r="L115" s="56"/>
      <c r="M115" s="58" t="n">
        <v>58.75623</v>
      </c>
      <c r="N115" s="59" t="n">
        <v>361</v>
      </c>
    </row>
    <row r="116" customFormat="false" ht="13" hidden="false" customHeight="false" outlineLevel="0" collapsed="false">
      <c r="C116" s="53" t="n">
        <v>1995</v>
      </c>
      <c r="D116" s="35" t="s">
        <v>19</v>
      </c>
      <c r="E116" s="19" t="n">
        <v>900.1928</v>
      </c>
      <c r="F116" s="12"/>
      <c r="G116" s="11" t="n">
        <v>365</v>
      </c>
      <c r="H116" s="12" t="s">
        <v>39</v>
      </c>
      <c r="I116" s="11" t="n">
        <v>15</v>
      </c>
      <c r="J116" s="12" t="s">
        <v>39</v>
      </c>
      <c r="K116" s="57" t="n">
        <v>90</v>
      </c>
      <c r="L116" s="56" t="s">
        <v>39</v>
      </c>
      <c r="M116" s="58" t="n">
        <v>70.40086</v>
      </c>
      <c r="N116" s="10" t="n">
        <v>7716</v>
      </c>
    </row>
    <row r="117" customFormat="false" ht="13" hidden="false" customHeight="false" outlineLevel="0" collapsed="false">
      <c r="C117" s="45" t="n">
        <v>1990</v>
      </c>
      <c r="D117" s="46"/>
      <c r="E117" s="19" t="n">
        <v>902.5758</v>
      </c>
      <c r="F117" s="12"/>
      <c r="G117" s="11" t="n">
        <v>338.4018</v>
      </c>
      <c r="H117" s="12"/>
      <c r="I117" s="11" t="n">
        <v>19.76791</v>
      </c>
      <c r="J117" s="12"/>
      <c r="K117" s="11" t="n">
        <v>110.1095</v>
      </c>
      <c r="L117" s="12"/>
      <c r="M117" s="10" t="n">
        <v>69.14505</v>
      </c>
      <c r="N117" s="24" t="n">
        <v>2275</v>
      </c>
    </row>
    <row r="119" customFormat="false" ht="13" hidden="false" customHeight="false" outlineLevel="0" collapsed="false">
      <c r="E119" s="50" t="s">
        <v>51</v>
      </c>
      <c r="F119" s="50"/>
      <c r="G119" s="26"/>
      <c r="H119" s="26"/>
      <c r="I119" s="26"/>
      <c r="J119" s="26"/>
      <c r="K119" s="26"/>
      <c r="L119" s="26"/>
      <c r="M119" s="26"/>
    </row>
  </sheetData>
  <printOptions headings="false" gridLines="false" gridLinesSet="true" horizontalCentered="false" verticalCentered="false"/>
  <pageMargins left="1.19027777777778" right="0.970138888888889" top="2.45972222222222" bottom="2.74027777777778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2000-02-25T11:09:00Z</dcterms:created>
  <dc:creator>sesh</dc:creator>
  <dc:description/>
  <dc:language>en-AU</dc:language>
  <cp:lastModifiedBy>sesh</cp:lastModifiedBy>
  <cp:lastPrinted>2000-03-21T07:35:24Z</cp:lastPrinted>
  <cp:revision>0</cp:revision>
  <dc:subject/>
  <dc:title/>
</cp:coreProperties>
</file>